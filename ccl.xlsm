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ialogsheets/sheet1.xml" ContentType="application/vnd.openxmlformats-officedocument.spreadsheetml.dialog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ialogsheets/sheet2.xml" ContentType="application/vnd.openxmlformats-officedocument.spreadsheetml.dialogsheet+xml"/>
  <Override PartName="/xl/worksheets/sheet11.xml" ContentType="application/vnd.openxmlformats-officedocument.spreadsheetml.worksheet+xml"/>
  <Override PartName="/xl/dialogsheets/sheet3.xml" ContentType="application/vnd.openxmlformats-officedocument.spreadsheetml.dialog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7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9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100918\Desktop\テスト時の参考資料\"/>
    </mc:Choice>
  </mc:AlternateContent>
  <xr:revisionPtr revIDLastSave="0" documentId="13_ncr:1_{ED12DAAE-9453-4DF2-9CD9-187351512D6E}" xr6:coauthVersionLast="47" xr6:coauthVersionMax="47" xr10:uidLastSave="{00000000-0000-0000-0000-000000000000}"/>
  <bookViews>
    <workbookView xWindow="-120" yWindow="-120" windowWidth="29040" windowHeight="15840" tabRatio="654" firstSheet="2" activeTab="3" xr2:uid="{00000000-000D-0000-FFFF-FFFF00000000}"/>
  </bookViews>
  <sheets>
    <sheet name="チェックＩＤ付加" sheetId="1" state="hidden" r:id="rId1"/>
    <sheet name="Module5" sheetId="3" state="veryHidden" r:id=""/>
    <sheet name="管理シート" sheetId="2" r:id="rId2"/>
    <sheet name="(1)" sheetId="141" r:id="rId3"/>
    <sheet name="(2)" sheetId="142" r:id="rId4"/>
    <sheet name="(3)" sheetId="144" r:id="rId5"/>
    <sheet name="(4)" sheetId="145" r:id="rId6"/>
    <sheet name="(5)" sheetId="146" r:id="rId7"/>
    <sheet name="(6)" sheetId="147" r:id="rId8"/>
    <sheet name="(7)" sheetId="148" r:id="rId9"/>
    <sheet name="(8)" sheetId="149" r:id="rId10"/>
    <sheet name="返品パターンの補足" sheetId="143" r:id="rId11"/>
    <sheet name="NABC" sheetId="29" state="veryHidden" r:id=""/>
    <sheet name="Module2" sheetId="30" state="veryHidden" r:id=""/>
    <sheet name="確認担当情報" sheetId="31" state="hidden" r:id="rId12"/>
    <sheet name="DrawCheck" sheetId="32" state="veryHidden" r:id=""/>
    <sheet name="名称一覧" sheetId="33" state="hidden" r:id="rId13"/>
    <sheet name="製図担当情報" sheetId="34" state="hidden" r:id="rId14"/>
    <sheet name="Module1" sheetId="35" state="veryHidden" r:id=""/>
    <sheet name="Module7" sheetId="36" state="veryHidden" r:id=""/>
    <sheet name="Module3" sheetId="37" state="veryHidden" r:id=""/>
    <sheet name="Module4" sheetId="38" state="veryHidden" r:id=""/>
    <sheet name="Module6" sheetId="39" state="veryHidden" r:id=""/>
  </sheets>
  <definedNames>
    <definedName name="_xlnm.Print_Area" localSheetId="3">'(1)'!$A$1:$AK$68</definedName>
    <definedName name="_xlnm.Print_Area" localSheetId="4">'(2)'!$A$1:$AK$65</definedName>
    <definedName name="_xlnm.Print_Area" localSheetId="5">'(3)'!$A$1:$AK$65</definedName>
    <definedName name="_xlnm.Print_Area" localSheetId="6">'(4)'!$A$1:$AK$65</definedName>
    <definedName name="_xlnm.Print_Area" localSheetId="7">'(5)'!$A$1:$AK$65</definedName>
    <definedName name="_xlnm.Print_Area" localSheetId="8">'(6)'!$A$1:$AK$76</definedName>
    <definedName name="_xlnm.Print_Area" localSheetId="9">'(7)'!$A$1:$AK$76</definedName>
    <definedName name="_xlnm.Print_Area" localSheetId="10">'(8)'!$A$1:$AK$68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67" i="149" l="1"/>
  <c r="AI67" i="149"/>
  <c r="AG67" i="149"/>
  <c r="AK66" i="149"/>
  <c r="AI66" i="149"/>
  <c r="AG66" i="149"/>
  <c r="AK59" i="149"/>
  <c r="AJ59" i="149"/>
  <c r="AI59" i="149"/>
  <c r="AH59" i="149"/>
  <c r="AG59" i="149"/>
  <c r="AF59" i="149"/>
  <c r="AE59" i="149"/>
  <c r="AD59" i="149"/>
  <c r="AC59" i="149"/>
  <c r="AB59" i="149"/>
  <c r="AA59" i="149"/>
  <c r="Z59" i="149"/>
  <c r="Y59" i="149"/>
  <c r="X59" i="149"/>
  <c r="W59" i="149"/>
  <c r="V59" i="149"/>
  <c r="U59" i="149"/>
  <c r="T59" i="149"/>
  <c r="S59" i="149"/>
  <c r="R59" i="149"/>
  <c r="Q59" i="149"/>
  <c r="P59" i="149"/>
  <c r="O59" i="149"/>
  <c r="AK57" i="149"/>
  <c r="AJ57" i="149"/>
  <c r="AI57" i="149"/>
  <c r="AH57" i="149"/>
  <c r="AG57" i="149"/>
  <c r="AF57" i="149"/>
  <c r="AE57" i="149"/>
  <c r="AD57" i="149"/>
  <c r="AC57" i="149"/>
  <c r="AB57" i="149"/>
  <c r="AA57" i="149"/>
  <c r="Z57" i="149"/>
  <c r="Y57" i="149"/>
  <c r="X57" i="149"/>
  <c r="W57" i="149"/>
  <c r="V57" i="149"/>
  <c r="U57" i="149"/>
  <c r="T57" i="149"/>
  <c r="S57" i="149"/>
  <c r="R57" i="149"/>
  <c r="Q57" i="149"/>
  <c r="P57" i="149"/>
  <c r="O57" i="149"/>
  <c r="AK75" i="148"/>
  <c r="AI75" i="148"/>
  <c r="AG75" i="148"/>
  <c r="AK74" i="148"/>
  <c r="AI76" i="148" s="1"/>
  <c r="AI74" i="148"/>
  <c r="AG74" i="148"/>
  <c r="AK67" i="148"/>
  <c r="AJ67" i="148"/>
  <c r="AI67" i="148"/>
  <c r="AH67" i="148"/>
  <c r="AG67" i="148"/>
  <c r="AF67" i="148"/>
  <c r="AE67" i="148"/>
  <c r="AD67" i="148"/>
  <c r="AC67" i="148"/>
  <c r="AB67" i="148"/>
  <c r="AA67" i="148"/>
  <c r="Z67" i="148"/>
  <c r="Y67" i="148"/>
  <c r="X67" i="148"/>
  <c r="W67" i="148"/>
  <c r="V67" i="148"/>
  <c r="U67" i="148"/>
  <c r="T67" i="148"/>
  <c r="S67" i="148"/>
  <c r="R67" i="148"/>
  <c r="Q67" i="148"/>
  <c r="P67" i="148"/>
  <c r="O67" i="148"/>
  <c r="AK65" i="148"/>
  <c r="AJ65" i="148"/>
  <c r="AI65" i="148"/>
  <c r="AH65" i="148"/>
  <c r="AG65" i="148"/>
  <c r="AF65" i="148"/>
  <c r="AE65" i="148"/>
  <c r="AD65" i="148"/>
  <c r="AC65" i="148"/>
  <c r="AB65" i="148"/>
  <c r="AA65" i="148"/>
  <c r="Z65" i="148"/>
  <c r="Y65" i="148"/>
  <c r="X65" i="148"/>
  <c r="W65" i="148"/>
  <c r="V65" i="148"/>
  <c r="U65" i="148"/>
  <c r="T65" i="148"/>
  <c r="S65" i="148"/>
  <c r="R65" i="148"/>
  <c r="Q65" i="148"/>
  <c r="P65" i="148"/>
  <c r="O65" i="148"/>
  <c r="AK75" i="147"/>
  <c r="AI75" i="147"/>
  <c r="AG75" i="147"/>
  <c r="AK74" i="147"/>
  <c r="AI74" i="147"/>
  <c r="AG74" i="147"/>
  <c r="AK67" i="147"/>
  <c r="AJ67" i="147"/>
  <c r="AI67" i="147"/>
  <c r="AH67" i="147"/>
  <c r="AG67" i="147"/>
  <c r="AF67" i="147"/>
  <c r="AE67" i="147"/>
  <c r="AD67" i="147"/>
  <c r="AC67" i="147"/>
  <c r="AB67" i="147"/>
  <c r="AA67" i="147"/>
  <c r="Z67" i="147"/>
  <c r="Y67" i="147"/>
  <c r="X67" i="147"/>
  <c r="W67" i="147"/>
  <c r="V67" i="147"/>
  <c r="U67" i="147"/>
  <c r="T67" i="147"/>
  <c r="S67" i="147"/>
  <c r="R67" i="147"/>
  <c r="Q67" i="147"/>
  <c r="P67" i="147"/>
  <c r="O67" i="147"/>
  <c r="AK65" i="147"/>
  <c r="AJ65" i="147"/>
  <c r="AI65" i="147"/>
  <c r="AH65" i="147"/>
  <c r="AG65" i="147"/>
  <c r="AF65" i="147"/>
  <c r="AE65" i="147"/>
  <c r="AD65" i="147"/>
  <c r="AC65" i="147"/>
  <c r="AB65" i="147"/>
  <c r="AA65" i="147"/>
  <c r="Z65" i="147"/>
  <c r="Y65" i="147"/>
  <c r="X65" i="147"/>
  <c r="W65" i="147"/>
  <c r="V65" i="147"/>
  <c r="U65" i="147"/>
  <c r="T65" i="147"/>
  <c r="S65" i="147"/>
  <c r="R65" i="147"/>
  <c r="Q65" i="147"/>
  <c r="P65" i="147"/>
  <c r="O65" i="147"/>
  <c r="AK64" i="146"/>
  <c r="AI64" i="146"/>
  <c r="AG64" i="146"/>
  <c r="AK63" i="146"/>
  <c r="AI63" i="146"/>
  <c r="AG63" i="146"/>
  <c r="AI65" i="146" s="1"/>
  <c r="AK56" i="146"/>
  <c r="AJ56" i="146"/>
  <c r="AI56" i="146"/>
  <c r="AH56" i="146"/>
  <c r="AG56" i="146"/>
  <c r="AF56" i="146"/>
  <c r="AE56" i="146"/>
  <c r="AD56" i="146"/>
  <c r="AC56" i="146"/>
  <c r="AB56" i="146"/>
  <c r="AA56" i="146"/>
  <c r="Z56" i="146"/>
  <c r="Y56" i="146"/>
  <c r="X56" i="146"/>
  <c r="W56" i="146"/>
  <c r="V56" i="146"/>
  <c r="U56" i="146"/>
  <c r="T56" i="146"/>
  <c r="S56" i="146"/>
  <c r="R56" i="146"/>
  <c r="Q56" i="146"/>
  <c r="P56" i="146"/>
  <c r="O56" i="146"/>
  <c r="AK54" i="146"/>
  <c r="AJ54" i="146"/>
  <c r="AI54" i="146"/>
  <c r="AH54" i="146"/>
  <c r="AG54" i="146"/>
  <c r="AF54" i="146"/>
  <c r="AE54" i="146"/>
  <c r="AD54" i="146"/>
  <c r="AC54" i="146"/>
  <c r="AB54" i="146"/>
  <c r="AA54" i="146"/>
  <c r="Z54" i="146"/>
  <c r="Y54" i="146"/>
  <c r="X54" i="146"/>
  <c r="W54" i="146"/>
  <c r="V54" i="146"/>
  <c r="U54" i="146"/>
  <c r="T54" i="146"/>
  <c r="S54" i="146"/>
  <c r="R54" i="146"/>
  <c r="Q54" i="146"/>
  <c r="P54" i="146"/>
  <c r="O54" i="146"/>
  <c r="AK64" i="145"/>
  <c r="AI64" i="145"/>
  <c r="AG64" i="145"/>
  <c r="AK63" i="145"/>
  <c r="AI63" i="145"/>
  <c r="AG63" i="145"/>
  <c r="AK56" i="145"/>
  <c r="AJ56" i="145"/>
  <c r="AI56" i="145"/>
  <c r="AH56" i="145"/>
  <c r="AG56" i="145"/>
  <c r="AF56" i="145"/>
  <c r="AE56" i="145"/>
  <c r="AD56" i="145"/>
  <c r="AC56" i="145"/>
  <c r="AB56" i="145"/>
  <c r="AA56" i="145"/>
  <c r="Z56" i="145"/>
  <c r="Y56" i="145"/>
  <c r="X56" i="145"/>
  <c r="W56" i="145"/>
  <c r="V56" i="145"/>
  <c r="U56" i="145"/>
  <c r="T56" i="145"/>
  <c r="S56" i="145"/>
  <c r="R56" i="145"/>
  <c r="Q56" i="145"/>
  <c r="P56" i="145"/>
  <c r="O56" i="145"/>
  <c r="AK54" i="145"/>
  <c r="AJ54" i="145"/>
  <c r="AI54" i="145"/>
  <c r="AH54" i="145"/>
  <c r="AG54" i="145"/>
  <c r="AF54" i="145"/>
  <c r="AE54" i="145"/>
  <c r="AD54" i="145"/>
  <c r="AC54" i="145"/>
  <c r="AB54" i="145"/>
  <c r="AA54" i="145"/>
  <c r="Z54" i="145"/>
  <c r="Y54" i="145"/>
  <c r="X54" i="145"/>
  <c r="W54" i="145"/>
  <c r="V54" i="145"/>
  <c r="U54" i="145"/>
  <c r="T54" i="145"/>
  <c r="S54" i="145"/>
  <c r="R54" i="145"/>
  <c r="Q54" i="145"/>
  <c r="P54" i="145"/>
  <c r="O54" i="145"/>
  <c r="AK64" i="144"/>
  <c r="AI64" i="144"/>
  <c r="AG64" i="144"/>
  <c r="AK63" i="144"/>
  <c r="AI63" i="144"/>
  <c r="AG63" i="144"/>
  <c r="AK56" i="144"/>
  <c r="AJ56" i="144"/>
  <c r="AI56" i="144"/>
  <c r="AH56" i="144"/>
  <c r="AG56" i="144"/>
  <c r="AF56" i="144"/>
  <c r="AE56" i="144"/>
  <c r="AD56" i="144"/>
  <c r="AC56" i="144"/>
  <c r="AB56" i="144"/>
  <c r="AA56" i="144"/>
  <c r="Z56" i="144"/>
  <c r="Y56" i="144"/>
  <c r="X56" i="144"/>
  <c r="W56" i="144"/>
  <c r="V56" i="144"/>
  <c r="U56" i="144"/>
  <c r="T56" i="144"/>
  <c r="S56" i="144"/>
  <c r="R56" i="144"/>
  <c r="Q56" i="144"/>
  <c r="P56" i="144"/>
  <c r="O56" i="144"/>
  <c r="AK54" i="144"/>
  <c r="AJ54" i="144"/>
  <c r="AI54" i="144"/>
  <c r="AH54" i="144"/>
  <c r="AG54" i="144"/>
  <c r="AF54" i="144"/>
  <c r="AE54" i="144"/>
  <c r="AD54" i="144"/>
  <c r="AC54" i="144"/>
  <c r="AB54" i="144"/>
  <c r="AA54" i="144"/>
  <c r="Z54" i="144"/>
  <c r="Y54" i="144"/>
  <c r="X54" i="144"/>
  <c r="W54" i="144"/>
  <c r="V54" i="144"/>
  <c r="U54" i="144"/>
  <c r="T54" i="144"/>
  <c r="S54" i="144"/>
  <c r="R54" i="144"/>
  <c r="Q54" i="144"/>
  <c r="P54" i="144"/>
  <c r="O54" i="144"/>
  <c r="AI68" i="149" l="1"/>
  <c r="AI76" i="147"/>
  <c r="AI65" i="145"/>
  <c r="AI65" i="144"/>
  <c r="AK64" i="142" l="1"/>
  <c r="AI64" i="142"/>
  <c r="AG64" i="142"/>
  <c r="AK63" i="142"/>
  <c r="AI63" i="142"/>
  <c r="AG63" i="142"/>
  <c r="AK56" i="142"/>
  <c r="AJ56" i="142"/>
  <c r="AI56" i="142"/>
  <c r="AH56" i="142"/>
  <c r="AG56" i="142"/>
  <c r="AF56" i="142"/>
  <c r="AE56" i="142"/>
  <c r="AD56" i="142"/>
  <c r="AC56" i="142"/>
  <c r="AB56" i="142"/>
  <c r="AA56" i="142"/>
  <c r="Z56" i="142"/>
  <c r="Y56" i="142"/>
  <c r="X56" i="142"/>
  <c r="W56" i="142"/>
  <c r="V56" i="142"/>
  <c r="U56" i="142"/>
  <c r="T56" i="142"/>
  <c r="S56" i="142"/>
  <c r="R56" i="142"/>
  <c r="Q56" i="142"/>
  <c r="P56" i="142"/>
  <c r="O56" i="142"/>
  <c r="AK54" i="142"/>
  <c r="AJ54" i="142"/>
  <c r="AI54" i="142"/>
  <c r="AH54" i="142"/>
  <c r="AG54" i="142"/>
  <c r="AF54" i="142"/>
  <c r="AE54" i="142"/>
  <c r="AD54" i="142"/>
  <c r="AC54" i="142"/>
  <c r="AB54" i="142"/>
  <c r="AA54" i="142"/>
  <c r="Z54" i="142"/>
  <c r="Y54" i="142"/>
  <c r="X54" i="142"/>
  <c r="W54" i="142"/>
  <c r="V54" i="142"/>
  <c r="U54" i="142"/>
  <c r="T54" i="142"/>
  <c r="S54" i="142"/>
  <c r="R54" i="142"/>
  <c r="Q54" i="142"/>
  <c r="P54" i="142"/>
  <c r="O54" i="142"/>
  <c r="AK59" i="141"/>
  <c r="AJ59" i="141"/>
  <c r="AI59" i="141"/>
  <c r="AH59" i="141"/>
  <c r="AG59" i="141"/>
  <c r="AF59" i="141"/>
  <c r="AE59" i="141"/>
  <c r="AD59" i="141"/>
  <c r="AC59" i="141"/>
  <c r="AB59" i="141"/>
  <c r="AA59" i="141"/>
  <c r="Z59" i="141"/>
  <c r="Y59" i="141"/>
  <c r="X59" i="141"/>
  <c r="W59" i="141"/>
  <c r="V59" i="141"/>
  <c r="U59" i="141"/>
  <c r="T59" i="141"/>
  <c r="S59" i="141"/>
  <c r="R59" i="141"/>
  <c r="Q59" i="141"/>
  <c r="P59" i="141"/>
  <c r="AK67" i="141"/>
  <c r="AI67" i="141"/>
  <c r="AG67" i="141"/>
  <c r="AK66" i="141"/>
  <c r="AI66" i="141"/>
  <c r="AG66" i="141"/>
  <c r="O59" i="141"/>
  <c r="AK57" i="141"/>
  <c r="AJ57" i="141"/>
  <c r="AI57" i="141"/>
  <c r="AH57" i="141"/>
  <c r="AG57" i="141"/>
  <c r="AF57" i="141"/>
  <c r="AE57" i="141"/>
  <c r="AD57" i="141"/>
  <c r="AC57" i="141"/>
  <c r="AB57" i="141"/>
  <c r="AA57" i="141"/>
  <c r="Z57" i="141"/>
  <c r="Y57" i="141"/>
  <c r="X57" i="141"/>
  <c r="W57" i="141"/>
  <c r="V57" i="141"/>
  <c r="U57" i="141"/>
  <c r="T57" i="141"/>
  <c r="S57" i="141"/>
  <c r="R57" i="141"/>
  <c r="Q57" i="141"/>
  <c r="P57" i="141"/>
  <c r="O57" i="141"/>
  <c r="E18" i="2"/>
  <c r="AI65" i="142" l="1"/>
  <c r="AI68" i="141"/>
</calcChain>
</file>

<file path=xl/sharedStrings.xml><?xml version="1.0" encoding="utf-8"?>
<sst xmlns="http://schemas.openxmlformats.org/spreadsheetml/2006/main" count="1861" uniqueCount="279">
  <si>
    <t>チェックＩＤの付加</t>
  </si>
  <si>
    <t>全シートの合計</t>
  </si>
  <si>
    <t>A</t>
  </si>
  <si>
    <t>B</t>
  </si>
  <si>
    <t>C</t>
  </si>
  <si>
    <t>N</t>
  </si>
  <si>
    <t>Total</t>
  </si>
  <si>
    <t>マトリックス　チェック・リスト</t>
  </si>
  <si>
    <t>ェ</t>
  </si>
  <si>
    <t>ク</t>
  </si>
  <si>
    <t>条</t>
  </si>
  <si>
    <t>件</t>
  </si>
  <si>
    <t>確</t>
  </si>
  <si>
    <t>認</t>
  </si>
  <si>
    <t>内</t>
  </si>
  <si>
    <t>容</t>
  </si>
  <si>
    <t>制御名</t>
  </si>
  <si>
    <t>重要度(Ａ/Ｂ/Ｃ)</t>
  </si>
  <si>
    <t>Ｐ票番号</t>
  </si>
  <si>
    <t>正常／異常／境界</t>
  </si>
  <si>
    <t>製図</t>
  </si>
  <si>
    <t>確認</t>
  </si>
  <si>
    <t>机上</t>
  </si>
  <si>
    <t>ﾏｼﾝ</t>
  </si>
  <si>
    <t>備考</t>
  </si>
  <si>
    <t>シート番号</t>
  </si>
  <si>
    <t>s運用1</t>
  </si>
  <si>
    <t>佐々木</t>
  </si>
  <si>
    <t>s運用2</t>
  </si>
  <si>
    <t>後藤</t>
  </si>
  <si>
    <t>s運用3</t>
  </si>
  <si>
    <t>吉田</t>
  </si>
  <si>
    <t>吉賀</t>
  </si>
  <si>
    <t>福原</t>
  </si>
  <si>
    <t>耳浦</t>
  </si>
  <si>
    <t>堀内</t>
  </si>
  <si>
    <t>千葉</t>
  </si>
  <si>
    <t>黒田</t>
  </si>
  <si>
    <t>阿井</t>
  </si>
  <si>
    <t>人見</t>
  </si>
  <si>
    <t xml:space="preserve">  　　株式会社</t>
    <rPh sb="4" eb="6">
      <t>カブシキ</t>
    </rPh>
    <rPh sb="6" eb="8">
      <t>カイシャ</t>
    </rPh>
    <phoneticPr fontId="15"/>
  </si>
  <si>
    <t>日立ソリューションズ</t>
    <rPh sb="0" eb="2">
      <t>ヒタチ</t>
    </rPh>
    <phoneticPr fontId="15"/>
  </si>
  <si>
    <t>ッ</t>
    <phoneticPr fontId="15"/>
  </si>
  <si>
    <t>機能ID</t>
    <rPh sb="0" eb="2">
      <t>キノウ</t>
    </rPh>
    <phoneticPr fontId="16"/>
  </si>
  <si>
    <t>機能名</t>
    <rPh sb="0" eb="2">
      <t>キノウ</t>
    </rPh>
    <phoneticPr fontId="16"/>
  </si>
  <si>
    <t>A</t>
    <phoneticPr fontId="16"/>
  </si>
  <si>
    <t>N</t>
    <phoneticPr fontId="16"/>
  </si>
  <si>
    <t>森川</t>
    <rPh sb="0" eb="2">
      <t>モリカワ</t>
    </rPh>
    <phoneticPr fontId="16"/>
  </si>
  <si>
    <t>楽天ペイ現金返金対応(#2580)の改修</t>
    <rPh sb="18" eb="20">
      <t>カイシュウ</t>
    </rPh>
    <phoneticPr fontId="16"/>
  </si>
  <si>
    <t>チ</t>
    <phoneticPr fontId="16"/>
  </si>
  <si>
    <t>返品予定入力(SORM0011)</t>
    <phoneticPr fontId="16"/>
  </si>
  <si>
    <t>返品予定入力確認(SORM0012)</t>
  </si>
  <si>
    <t>画面入力項目</t>
    <rPh sb="0" eb="2">
      <t>ガメン</t>
    </rPh>
    <rPh sb="2" eb="4">
      <t>ニュウリョク</t>
    </rPh>
    <rPh sb="4" eb="6">
      <t>コウモク</t>
    </rPh>
    <phoneticPr fontId="16"/>
  </si>
  <si>
    <t>支払方法</t>
    <rPh sb="0" eb="2">
      <t>シハライ</t>
    </rPh>
    <rPh sb="2" eb="4">
      <t>ホウホウ</t>
    </rPh>
    <phoneticPr fontId="16"/>
  </si>
  <si>
    <t>楽天ペイ</t>
    <rPh sb="0" eb="2">
      <t>ラクテン</t>
    </rPh>
    <phoneticPr fontId="16"/>
  </si>
  <si>
    <t>返金方法</t>
    <rPh sb="0" eb="2">
      <t>ヘンキン</t>
    </rPh>
    <rPh sb="2" eb="4">
      <t>ホウホウ</t>
    </rPh>
    <phoneticPr fontId="16"/>
  </si>
  <si>
    <t>"現金"にチェックする</t>
    <rPh sb="1" eb="3">
      <t>ゲンキン</t>
    </rPh>
    <phoneticPr fontId="16"/>
  </si>
  <si>
    <t>"現金"にチェックしない</t>
    <rPh sb="1" eb="3">
      <t>ゲンキン</t>
    </rPh>
    <phoneticPr fontId="16"/>
  </si>
  <si>
    <t>ポイント返金方法</t>
    <rPh sb="4" eb="6">
      <t>ヘンキン</t>
    </rPh>
    <rPh sb="6" eb="8">
      <t>ホウホウ</t>
    </rPh>
    <phoneticPr fontId="16"/>
  </si>
  <si>
    <t>ログインユーザー</t>
    <phoneticPr fontId="16"/>
  </si>
  <si>
    <t>現金返金権限(リソース値で管理されている)</t>
    <rPh sb="0" eb="2">
      <t>ゲンキン</t>
    </rPh>
    <rPh sb="2" eb="4">
      <t>ヘンキン</t>
    </rPh>
    <rPh sb="4" eb="6">
      <t>ケンゲン</t>
    </rPh>
    <rPh sb="11" eb="12">
      <t>アタイ</t>
    </rPh>
    <rPh sb="13" eb="15">
      <t>カンリ</t>
    </rPh>
    <phoneticPr fontId="16"/>
  </si>
  <si>
    <t>有り</t>
    <rPh sb="0" eb="1">
      <t>ア</t>
    </rPh>
    <phoneticPr fontId="16"/>
  </si>
  <si>
    <t>無し</t>
    <rPh sb="0" eb="1">
      <t>ナ</t>
    </rPh>
    <phoneticPr fontId="16"/>
  </si>
  <si>
    <t>テスト実施画面</t>
    <rPh sb="3" eb="5">
      <t>ジッシ</t>
    </rPh>
    <rPh sb="5" eb="7">
      <t>ガメン</t>
    </rPh>
    <phoneticPr fontId="16"/>
  </si>
  <si>
    <t>テスト確認画面</t>
    <rPh sb="3" eb="5">
      <t>カクニン</t>
    </rPh>
    <rPh sb="5" eb="7">
      <t>ガメン</t>
    </rPh>
    <phoneticPr fontId="16"/>
  </si>
  <si>
    <t>エラーメッセージ</t>
    <phoneticPr fontId="16"/>
  </si>
  <si>
    <t>注釈メッセージ</t>
    <rPh sb="0" eb="2">
      <t>チュウシャク</t>
    </rPh>
    <phoneticPr fontId="16"/>
  </si>
  <si>
    <t>画面上部</t>
    <rPh sb="0" eb="2">
      <t>ガメン</t>
    </rPh>
    <rPh sb="2" eb="4">
      <t>ジョウブ</t>
    </rPh>
    <phoneticPr fontId="16"/>
  </si>
  <si>
    <t>この楽天受注は現金返金を行うため、RMS側でキャンセル申請は行わないで下さい。
二重返金となってしまいます。</t>
    <phoneticPr fontId="16"/>
  </si>
  <si>
    <t>特に何も出力されない</t>
    <rPh sb="0" eb="1">
      <t>トク</t>
    </rPh>
    <rPh sb="2" eb="3">
      <t>ナニ</t>
    </rPh>
    <rPh sb="4" eb="6">
      <t>シュツリョク</t>
    </rPh>
    <phoneticPr fontId="16"/>
  </si>
  <si>
    <t>○</t>
    <phoneticPr fontId="16"/>
  </si>
  <si>
    <t>受注詳細(SORM0004)</t>
    <rPh sb="0" eb="2">
      <t>ジュチュウ</t>
    </rPh>
    <rPh sb="2" eb="4">
      <t>ショウサイ</t>
    </rPh>
    <phoneticPr fontId="16"/>
  </si>
  <si>
    <t>受注テーブル</t>
    <rPh sb="0" eb="2">
      <t>ジュチュウ</t>
    </rPh>
    <phoneticPr fontId="16"/>
  </si>
  <si>
    <t>RMS側とACS側の請求金額</t>
    <rPh sb="3" eb="4">
      <t>ガワ</t>
    </rPh>
    <rPh sb="8" eb="9">
      <t>ガワ</t>
    </rPh>
    <rPh sb="10" eb="12">
      <t>セイキュウ</t>
    </rPh>
    <rPh sb="12" eb="14">
      <t>キンガク</t>
    </rPh>
    <phoneticPr fontId="16"/>
  </si>
  <si>
    <t>一致</t>
    <rPh sb="0" eb="2">
      <t>イッチ</t>
    </rPh>
    <phoneticPr fontId="16"/>
  </si>
  <si>
    <t>不一致</t>
    <rPh sb="0" eb="3">
      <t>フイッチ</t>
    </rPh>
    <phoneticPr fontId="16"/>
  </si>
  <si>
    <t>ADMIN権限</t>
    <rPh sb="5" eb="7">
      <t>ケンゲン</t>
    </rPh>
    <phoneticPr fontId="16"/>
  </si>
  <si>
    <t>正常に処理を実施</t>
    <rPh sb="0" eb="2">
      <t>セイジョウ</t>
    </rPh>
    <rPh sb="3" eb="5">
      <t>ショリ</t>
    </rPh>
    <rPh sb="6" eb="8">
      <t>ジッシ</t>
    </rPh>
    <phoneticPr fontId="16"/>
  </si>
  <si>
    <t>エラーメッセージ表示</t>
    <rPh sb="8" eb="10">
      <t>ヒョウジ</t>
    </rPh>
    <phoneticPr fontId="16"/>
  </si>
  <si>
    <t>ポイントのみ</t>
    <phoneticPr fontId="16"/>
  </si>
  <si>
    <t>クーポンのみ</t>
    <phoneticPr fontId="16"/>
  </si>
  <si>
    <t>件</t>
    <phoneticPr fontId="16"/>
  </si>
  <si>
    <t>〇</t>
    <phoneticPr fontId="16"/>
  </si>
  <si>
    <t>○</t>
  </si>
  <si>
    <t>受注テーブル</t>
    <rPh sb="0" eb="2">
      <t>ジュチュウ</t>
    </rPh>
    <phoneticPr fontId="16"/>
  </si>
  <si>
    <t>MEORO311：楽天ペイ受注の場合、現金返金の権限がないと行うことができません。</t>
    <rPh sb="9" eb="11">
      <t>ラクテン</t>
    </rPh>
    <rPh sb="13" eb="15">
      <t>ジュチュウ</t>
    </rPh>
    <rPh sb="16" eb="18">
      <t>バアイ</t>
    </rPh>
    <rPh sb="19" eb="21">
      <t>ゲンキン</t>
    </rPh>
    <rPh sb="21" eb="23">
      <t>ヘンキン</t>
    </rPh>
    <rPh sb="24" eb="26">
      <t>ケンゲン</t>
    </rPh>
    <rPh sb="30" eb="31">
      <t>オコナ</t>
    </rPh>
    <phoneticPr fontId="16"/>
  </si>
  <si>
    <t>MEORO312：ポイント支払金額が0円のため、現金返金のみチェックしてください。</t>
    <phoneticPr fontId="16"/>
  </si>
  <si>
    <t>MEORO313：支払方法が「ポイントのみ」のため、ポイント現金返金のみチェックしてください。</t>
    <phoneticPr fontId="16"/>
  </si>
  <si>
    <t>MEORO314：ユーザ支払金額が1円以上でポイント支払金額が1円以上のため、&lt;br&gt;現金返金とポイント現金返金の両方にチェックしてください。</t>
    <phoneticPr fontId="16"/>
  </si>
  <si>
    <t>権限チェックに関する観点</t>
    <rPh sb="0" eb="2">
      <t>ケンゲン</t>
    </rPh>
    <rPh sb="7" eb="8">
      <t>カン</t>
    </rPh>
    <rPh sb="10" eb="12">
      <t>カンテン</t>
    </rPh>
    <phoneticPr fontId="16"/>
  </si>
  <si>
    <t>ポイント支払金額</t>
    <rPh sb="4" eb="6">
      <t>シハラ</t>
    </rPh>
    <rPh sb="6" eb="8">
      <t>キンガク</t>
    </rPh>
    <phoneticPr fontId="16"/>
  </si>
  <si>
    <t>0円</t>
    <rPh sb="1" eb="2">
      <t>エン</t>
    </rPh>
    <phoneticPr fontId="16"/>
  </si>
  <si>
    <t>1円以上</t>
    <rPh sb="1" eb="2">
      <t>エン</t>
    </rPh>
    <rPh sb="2" eb="4">
      <t>イジョウ</t>
    </rPh>
    <phoneticPr fontId="16"/>
  </si>
  <si>
    <t>後任者への情報</t>
    <rPh sb="0" eb="3">
      <t>コウニンシャ</t>
    </rPh>
    <rPh sb="5" eb="7">
      <t>ジョウホウ</t>
    </rPh>
    <phoneticPr fontId="16"/>
  </si>
  <si>
    <t>→もしかしたら、返品後ポイント支払金額が関連するかも</t>
    <rPh sb="8" eb="10">
      <t>ヘンピン</t>
    </rPh>
    <rPh sb="10" eb="11">
      <t>ゴ</t>
    </rPh>
    <rPh sb="15" eb="17">
      <t>シハラ</t>
    </rPh>
    <rPh sb="17" eb="19">
      <t>キンガク</t>
    </rPh>
    <rPh sb="20" eb="22">
      <t>カンレン</t>
    </rPh>
    <phoneticPr fontId="16"/>
  </si>
  <si>
    <t>　その指摘が来たら、実装修正とCCL修正が必要</t>
    <rPh sb="3" eb="5">
      <t>シテキ</t>
    </rPh>
    <rPh sb="6" eb="7">
      <t>キ</t>
    </rPh>
    <rPh sb="10" eb="12">
      <t>ジッソウ</t>
    </rPh>
    <rPh sb="12" eb="14">
      <t>シュウセイ</t>
    </rPh>
    <rPh sb="18" eb="20">
      <t>シュウセイ</t>
    </rPh>
    <rPh sb="21" eb="23">
      <t>ヒツヨウ</t>
    </rPh>
    <phoneticPr fontId="16"/>
  </si>
  <si>
    <t>(ポイント支払いはなし)</t>
    <rPh sb="5" eb="7">
      <t>シハラ</t>
    </rPh>
    <phoneticPr fontId="16"/>
  </si>
  <si>
    <t>(ポイント支払いはあり)</t>
    <rPh sb="5" eb="7">
      <t>シハラ</t>
    </rPh>
    <phoneticPr fontId="16"/>
  </si>
  <si>
    <t>支払方法が「楽天ペイ」に関するチェック観点</t>
    <rPh sb="0" eb="2">
      <t>シハライ</t>
    </rPh>
    <rPh sb="2" eb="4">
      <t>ホウホウ</t>
    </rPh>
    <rPh sb="6" eb="8">
      <t>ラクテン</t>
    </rPh>
    <rPh sb="12" eb="13">
      <t>カン</t>
    </rPh>
    <rPh sb="19" eb="21">
      <t>カンテン</t>
    </rPh>
    <phoneticPr fontId="16"/>
  </si>
  <si>
    <t>支払方法が「ポイントのみ」に関するチェック観点</t>
    <rPh sb="0" eb="2">
      <t>シハライ</t>
    </rPh>
    <rPh sb="2" eb="4">
      <t>ホウホウ</t>
    </rPh>
    <rPh sb="14" eb="15">
      <t>カン</t>
    </rPh>
    <rPh sb="21" eb="23">
      <t>カンテン</t>
    </rPh>
    <phoneticPr fontId="16"/>
  </si>
  <si>
    <t>代引</t>
    <rPh sb="0" eb="2">
      <t>ダイビ</t>
    </rPh>
    <phoneticPr fontId="16"/>
  </si>
  <si>
    <t>支払方法が「クーポンのみ」に関するチェック観点</t>
    <rPh sb="0" eb="2">
      <t>シハライ</t>
    </rPh>
    <rPh sb="2" eb="4">
      <t>ホウホウ</t>
    </rPh>
    <rPh sb="14" eb="15">
      <t>カン</t>
    </rPh>
    <rPh sb="21" eb="23">
      <t>カンテン</t>
    </rPh>
    <phoneticPr fontId="16"/>
  </si>
  <si>
    <t>その他：代引の場合</t>
    <rPh sb="2" eb="3">
      <t>ホカ</t>
    </rPh>
    <rPh sb="4" eb="6">
      <t>ダイビ</t>
    </rPh>
    <rPh sb="7" eb="9">
      <t>バアイ</t>
    </rPh>
    <phoneticPr fontId="16"/>
  </si>
  <si>
    <t>「出荷指示」ボタン</t>
    <phoneticPr fontId="16"/>
  </si>
  <si>
    <t>返品パターン</t>
    <rPh sb="0" eb="2">
      <t>ヘンピン</t>
    </rPh>
    <phoneticPr fontId="16"/>
  </si>
  <si>
    <t>　CCLの各シートに記載してある返品パターン例として以下に示す。</t>
    <rPh sb="5" eb="6">
      <t>カク</t>
    </rPh>
    <rPh sb="10" eb="12">
      <t>キサイ</t>
    </rPh>
    <rPh sb="16" eb="18">
      <t>ヘンピン</t>
    </rPh>
    <rPh sb="22" eb="23">
      <t>レイ</t>
    </rPh>
    <rPh sb="26" eb="28">
      <t>イカ</t>
    </rPh>
    <rPh sb="29" eb="30">
      <t>シメ</t>
    </rPh>
    <phoneticPr fontId="16"/>
  </si>
  <si>
    <t>　※HISOLから頂いた資料を参考に記載しました。</t>
    <rPh sb="9" eb="10">
      <t>イタダ</t>
    </rPh>
    <rPh sb="12" eb="14">
      <t>シリョウ</t>
    </rPh>
    <rPh sb="15" eb="17">
      <t>サンコウ</t>
    </rPh>
    <rPh sb="18" eb="20">
      <t>キサイ</t>
    </rPh>
    <phoneticPr fontId="16"/>
  </si>
  <si>
    <t>パターン1：購入後に全返品した状態</t>
    <phoneticPr fontId="16"/>
  </si>
  <si>
    <t>楽天で商品を購入後、購入した商品を全部返品した状態</t>
    <rPh sb="0" eb="2">
      <t>ラクテン</t>
    </rPh>
    <rPh sb="3" eb="5">
      <t>ショウヒン</t>
    </rPh>
    <rPh sb="6" eb="8">
      <t>コウニュウ</t>
    </rPh>
    <rPh sb="8" eb="9">
      <t>ゴ</t>
    </rPh>
    <rPh sb="10" eb="12">
      <t>コウニュウ</t>
    </rPh>
    <rPh sb="14" eb="16">
      <t>ショウヒン</t>
    </rPh>
    <rPh sb="17" eb="19">
      <t>ゼンブ</t>
    </rPh>
    <rPh sb="19" eb="21">
      <t>ヘンピン</t>
    </rPh>
    <rPh sb="23" eb="25">
      <t>ジョウタイ</t>
    </rPh>
    <phoneticPr fontId="16"/>
  </si>
  <si>
    <t>商品を全返品</t>
    <rPh sb="0" eb="2">
      <t>ショウヒン</t>
    </rPh>
    <rPh sb="3" eb="4">
      <t>ゼン</t>
    </rPh>
    <rPh sb="4" eb="6">
      <t>ヘンピン</t>
    </rPh>
    <phoneticPr fontId="16"/>
  </si>
  <si>
    <t>商品を全返品後、別商品に変更</t>
    <rPh sb="0" eb="2">
      <t>ショウヒン</t>
    </rPh>
    <rPh sb="3" eb="4">
      <t>ゼン</t>
    </rPh>
    <rPh sb="4" eb="6">
      <t>ヘンピン</t>
    </rPh>
    <rPh sb="6" eb="7">
      <t>ゴ</t>
    </rPh>
    <rPh sb="8" eb="9">
      <t>ベツ</t>
    </rPh>
    <rPh sb="9" eb="11">
      <t>ショウヒン</t>
    </rPh>
    <rPh sb="12" eb="14">
      <t>ヘンコウ</t>
    </rPh>
    <phoneticPr fontId="16"/>
  </si>
  <si>
    <t>商品を一部返品後、別商品も追加</t>
    <rPh sb="0" eb="2">
      <t>ショウヒン</t>
    </rPh>
    <rPh sb="5" eb="7">
      <t>ヘンピン</t>
    </rPh>
    <rPh sb="7" eb="8">
      <t>ゴ</t>
    </rPh>
    <rPh sb="9" eb="10">
      <t>ベツ</t>
    </rPh>
    <rPh sb="10" eb="12">
      <t>ショウヒン</t>
    </rPh>
    <rPh sb="13" eb="15">
      <t>ツイカ</t>
    </rPh>
    <phoneticPr fontId="16"/>
  </si>
  <si>
    <t>確</t>
    <phoneticPr fontId="16"/>
  </si>
  <si>
    <t>現金返金対象</t>
    <rPh sb="0" eb="2">
      <t>ゲンキン</t>
    </rPh>
    <rPh sb="2" eb="4">
      <t>ヘンキン</t>
    </rPh>
    <rPh sb="4" eb="6">
      <t>タイショウ</t>
    </rPh>
    <phoneticPr fontId="16"/>
  </si>
  <si>
    <t>有り</t>
    <rPh sb="0" eb="1">
      <t>ア</t>
    </rPh>
    <phoneticPr fontId="16"/>
  </si>
  <si>
    <t>ACSのユーザ支払金額とRMSの請求金額が不一致のため出荷指示できません。</t>
    <phoneticPr fontId="16"/>
  </si>
  <si>
    <t>ACS側の請求金額 + ACS側現金返金額</t>
    <phoneticPr fontId="16"/>
  </si>
  <si>
    <t>ACS側の請求金額 計算方法</t>
    <rPh sb="3" eb="4">
      <t>ガワ</t>
    </rPh>
    <rPh sb="5" eb="7">
      <t>セイキュウ</t>
    </rPh>
    <rPh sb="7" eb="9">
      <t>キンガク</t>
    </rPh>
    <rPh sb="10" eb="12">
      <t>ケイサン</t>
    </rPh>
    <rPh sb="12" eb="14">
      <t>ホウホウ</t>
    </rPh>
    <phoneticPr fontId="16"/>
  </si>
  <si>
    <t>商品を全返品後、別商品に変更(現金返金)
その後、商品を全返品して別商品に変更(現金返金)</t>
    <rPh sb="0" eb="2">
      <t>ショウヒン</t>
    </rPh>
    <rPh sb="3" eb="4">
      <t>ゼン</t>
    </rPh>
    <rPh sb="4" eb="6">
      <t>ヘンピン</t>
    </rPh>
    <rPh sb="6" eb="7">
      <t>ゴ</t>
    </rPh>
    <rPh sb="8" eb="9">
      <t>ベツ</t>
    </rPh>
    <rPh sb="9" eb="11">
      <t>ショウヒン</t>
    </rPh>
    <rPh sb="12" eb="14">
      <t>ヘンコウ</t>
    </rPh>
    <rPh sb="15" eb="17">
      <t>ゲンキン</t>
    </rPh>
    <rPh sb="17" eb="19">
      <t>ヘンキン</t>
    </rPh>
    <rPh sb="23" eb="24">
      <t>アト</t>
    </rPh>
    <rPh sb="25" eb="27">
      <t>ショウヒン</t>
    </rPh>
    <rPh sb="28" eb="29">
      <t>ゼン</t>
    </rPh>
    <rPh sb="29" eb="31">
      <t>ヘンピン</t>
    </rPh>
    <rPh sb="33" eb="34">
      <t>ベツ</t>
    </rPh>
    <rPh sb="34" eb="36">
      <t>ショウヒン</t>
    </rPh>
    <rPh sb="37" eb="39">
      <t>ヘンコウ</t>
    </rPh>
    <rPh sb="40" eb="42">
      <t>ゲンキン</t>
    </rPh>
    <rPh sb="42" eb="44">
      <t>ヘンキン</t>
    </rPh>
    <phoneticPr fontId="16"/>
  </si>
  <si>
    <t>商品を全返品後、別商品に変更(差額返金はRMS経由)
その後、商品を全返品して別商品に変更(現金返金)</t>
    <rPh sb="0" eb="2">
      <t>ショウヒン</t>
    </rPh>
    <rPh sb="3" eb="4">
      <t>ゼン</t>
    </rPh>
    <rPh sb="4" eb="6">
      <t>ヘンピン</t>
    </rPh>
    <rPh sb="6" eb="7">
      <t>ゴ</t>
    </rPh>
    <rPh sb="8" eb="9">
      <t>ベツ</t>
    </rPh>
    <rPh sb="9" eb="11">
      <t>ショウヒン</t>
    </rPh>
    <rPh sb="12" eb="14">
      <t>ヘンコウ</t>
    </rPh>
    <rPh sb="15" eb="17">
      <t>サガク</t>
    </rPh>
    <rPh sb="17" eb="19">
      <t>ヘンキン</t>
    </rPh>
    <rPh sb="23" eb="25">
      <t>ケイユ</t>
    </rPh>
    <rPh sb="29" eb="30">
      <t>アト</t>
    </rPh>
    <rPh sb="31" eb="33">
      <t>ショウヒン</t>
    </rPh>
    <rPh sb="34" eb="35">
      <t>ゼン</t>
    </rPh>
    <rPh sb="35" eb="37">
      <t>ヘンピン</t>
    </rPh>
    <rPh sb="39" eb="40">
      <t>ベツ</t>
    </rPh>
    <rPh sb="40" eb="42">
      <t>ショウヒン</t>
    </rPh>
    <rPh sb="43" eb="45">
      <t>ヘンコウ</t>
    </rPh>
    <rPh sb="46" eb="48">
      <t>ゲンキン</t>
    </rPh>
    <rPh sb="48" eb="50">
      <t>ヘンキン</t>
    </rPh>
    <phoneticPr fontId="16"/>
  </si>
  <si>
    <t>内</t>
    <phoneticPr fontId="16"/>
  </si>
  <si>
    <t>容</t>
    <phoneticPr fontId="16"/>
  </si>
  <si>
    <t>商品を一部返品</t>
    <rPh sb="0" eb="2">
      <t>ショウヒン</t>
    </rPh>
    <rPh sb="5" eb="7">
      <t>ヘンピン</t>
    </rPh>
    <phoneticPr fontId="16"/>
  </si>
  <si>
    <t>想定できる返品パターンのテスト実施</t>
    <rPh sb="0" eb="2">
      <t>ソウテイ</t>
    </rPh>
    <rPh sb="5" eb="7">
      <t>ヘンピン</t>
    </rPh>
    <rPh sb="15" eb="17">
      <t>ジッシ</t>
    </rPh>
    <phoneticPr fontId="16"/>
  </si>
  <si>
    <t>その他：支払方法によるチェック観点</t>
    <rPh sb="2" eb="3">
      <t>ホカ</t>
    </rPh>
    <rPh sb="4" eb="6">
      <t>シハライ</t>
    </rPh>
    <rPh sb="6" eb="8">
      <t>ホウホウ</t>
    </rPh>
    <rPh sb="15" eb="17">
      <t>カンテン</t>
    </rPh>
    <phoneticPr fontId="16"/>
  </si>
  <si>
    <t>テスト実施機能</t>
    <rPh sb="3" eb="5">
      <t>ジッシ</t>
    </rPh>
    <rPh sb="5" eb="7">
      <t>キノウ</t>
    </rPh>
    <phoneticPr fontId="16"/>
  </si>
  <si>
    <t>出荷指示作成(BIMM20101)</t>
    <rPh sb="0" eb="2">
      <t>シュッカ</t>
    </rPh>
    <rPh sb="2" eb="4">
      <t>シジ</t>
    </rPh>
    <rPh sb="4" eb="6">
      <t>サクセイ</t>
    </rPh>
    <phoneticPr fontId="16"/>
  </si>
  <si>
    <t>SBB発注データ送信(BSBM20101)</t>
    <phoneticPr fontId="16"/>
  </si>
  <si>
    <t>テスト確認</t>
    <rPh sb="3" eb="5">
      <t>カクニン</t>
    </rPh>
    <phoneticPr fontId="16"/>
  </si>
  <si>
    <t>DIS発注データ送信(BDIM20101)</t>
    <rPh sb="3" eb="5">
      <t>ハッチュウ</t>
    </rPh>
    <rPh sb="8" eb="10">
      <t>ソウシン</t>
    </rPh>
    <phoneticPr fontId="16"/>
  </si>
  <si>
    <t>確</t>
    <phoneticPr fontId="16"/>
  </si>
  <si>
    <t>認</t>
    <phoneticPr fontId="16"/>
  </si>
  <si>
    <t>認
内</t>
    <phoneticPr fontId="16"/>
  </si>
  <si>
    <t>容</t>
    <phoneticPr fontId="16"/>
  </si>
  <si>
    <t>受注データ突合バッチ（売上送信前）(BRTM20401)</t>
    <phoneticPr fontId="16"/>
  </si>
  <si>
    <t>ACS側のポイント支払金額 計算方法</t>
    <rPh sb="3" eb="4">
      <t>ガワ</t>
    </rPh>
    <rPh sb="9" eb="11">
      <t>シハラ</t>
    </rPh>
    <rPh sb="11" eb="13">
      <t>キンガク</t>
    </rPh>
    <rPh sb="14" eb="16">
      <t>ケイサン</t>
    </rPh>
    <rPh sb="16" eb="18">
      <t>ホウホウ</t>
    </rPh>
    <phoneticPr fontId="16"/>
  </si>
  <si>
    <t>ACS側のポイント支払金額 + ACS側のポイント現金支払金額</t>
    <phoneticPr fontId="16"/>
  </si>
  <si>
    <t>ACS側のクーポン値引き金額 計算方法</t>
    <rPh sb="3" eb="4">
      <t>ガワ</t>
    </rPh>
    <rPh sb="9" eb="11">
      <t>ネビ</t>
    </rPh>
    <rPh sb="12" eb="14">
      <t>キンガク</t>
    </rPh>
    <rPh sb="15" eb="17">
      <t>ケイサン</t>
    </rPh>
    <rPh sb="17" eb="19">
      <t>ホウホウ</t>
    </rPh>
    <phoneticPr fontId="16"/>
  </si>
  <si>
    <t>ACS側のクーポン値引き額 + ACS側のクーポン値引き額現金支払額</t>
    <phoneticPr fontId="16"/>
  </si>
  <si>
    <t>RMS側とACS側のポイント支払金額</t>
    <rPh sb="3" eb="4">
      <t>ガワ</t>
    </rPh>
    <rPh sb="8" eb="9">
      <t>ガワ</t>
    </rPh>
    <rPh sb="14" eb="16">
      <t>シハラ</t>
    </rPh>
    <rPh sb="16" eb="18">
      <t>キンガク</t>
    </rPh>
    <phoneticPr fontId="16"/>
  </si>
  <si>
    <t>RMS側とACS側のクーポン値引き額</t>
    <rPh sb="3" eb="4">
      <t>ガワ</t>
    </rPh>
    <rPh sb="8" eb="9">
      <t>ガワ</t>
    </rPh>
    <rPh sb="14" eb="16">
      <t>ネビ</t>
    </rPh>
    <rPh sb="17" eb="18">
      <t>ガク</t>
    </rPh>
    <phoneticPr fontId="16"/>
  </si>
  <si>
    <t>現金返金要確認受注一覧メール 対象</t>
    <rPh sb="0" eb="2">
      <t>ゲンキン</t>
    </rPh>
    <rPh sb="2" eb="4">
      <t>ヘンキン</t>
    </rPh>
    <rPh sb="4" eb="5">
      <t>ヨウ</t>
    </rPh>
    <rPh sb="5" eb="7">
      <t>カクニン</t>
    </rPh>
    <rPh sb="7" eb="9">
      <t>ジュチュウ</t>
    </rPh>
    <rPh sb="9" eb="11">
      <t>イチラン</t>
    </rPh>
    <rPh sb="15" eb="17">
      <t>タイショウ</t>
    </rPh>
    <phoneticPr fontId="16"/>
  </si>
  <si>
    <t>メール送信確認</t>
    <rPh sb="3" eb="5">
      <t>ソウシン</t>
    </rPh>
    <rPh sb="5" eb="7">
      <t>カクニン</t>
    </rPh>
    <phoneticPr fontId="16"/>
  </si>
  <si>
    <t>オンライン受注エラーテーブル</t>
    <rPh sb="5" eb="7">
      <t>ジュチュウ</t>
    </rPh>
    <phoneticPr fontId="16"/>
  </si>
  <si>
    <t>エラー内容</t>
    <rPh sb="3" eb="5">
      <t>ナイヨウ</t>
    </rPh>
    <phoneticPr fontId="16"/>
  </si>
  <si>
    <t>請求金額不一致（現金返金あり）</t>
    <phoneticPr fontId="16"/>
  </si>
  <si>
    <t>ポイント支払金額不一致（現金返金あり）</t>
    <phoneticPr fontId="16"/>
  </si>
  <si>
    <t>クーポン値引金額不一致（現金返金あり）</t>
    <phoneticPr fontId="16"/>
  </si>
  <si>
    <t>現金返金あり（差額なし）</t>
    <phoneticPr fontId="16"/>
  </si>
  <si>
    <t>対象となるエラーは存在しない</t>
    <rPh sb="0" eb="2">
      <t>タイショウ</t>
    </rPh>
    <rPh sb="9" eb="11">
      <t>ソンザイ</t>
    </rPh>
    <phoneticPr fontId="16"/>
  </si>
  <si>
    <t>容</t>
    <rPh sb="0" eb="1">
      <t>カタチ</t>
    </rPh>
    <phoneticPr fontId="16"/>
  </si>
  <si>
    <t>モールクーポン値引き額</t>
    <phoneticPr fontId="16"/>
  </si>
  <si>
    <t>0円</t>
    <rPh sb="1" eb="2">
      <t>エン</t>
    </rPh>
    <phoneticPr fontId="16"/>
  </si>
  <si>
    <t>1円以上</t>
    <rPh sb="1" eb="2">
      <t>エン</t>
    </rPh>
    <rPh sb="2" eb="4">
      <t>イジョウ</t>
    </rPh>
    <phoneticPr fontId="16"/>
  </si>
  <si>
    <t>ストアクーポン値引き額</t>
    <rPh sb="7" eb="9">
      <t>ネビ</t>
    </rPh>
    <rPh sb="10" eb="11">
      <t>ガク</t>
    </rPh>
    <phoneticPr fontId="16"/>
  </si>
  <si>
    <t>ポイント支払い額</t>
    <rPh sb="4" eb="6">
      <t>シハラ</t>
    </rPh>
    <rPh sb="7" eb="8">
      <t>ガク</t>
    </rPh>
    <phoneticPr fontId="16"/>
  </si>
  <si>
    <t>想定できる返品パターンで計算方式通りに正しく計算出来ているか確認</t>
    <rPh sb="0" eb="2">
      <t>ソウテイ</t>
    </rPh>
    <rPh sb="5" eb="7">
      <t>ヘンピン</t>
    </rPh>
    <rPh sb="12" eb="14">
      <t>ケイサン</t>
    </rPh>
    <rPh sb="14" eb="16">
      <t>ホウシキ</t>
    </rPh>
    <rPh sb="16" eb="17">
      <t>ドオ</t>
    </rPh>
    <rPh sb="19" eb="20">
      <t>タダ</t>
    </rPh>
    <rPh sb="22" eb="24">
      <t>ケイサン</t>
    </rPh>
    <rPh sb="24" eb="26">
      <t>デキ</t>
    </rPh>
    <rPh sb="30" eb="32">
      <t>カクニン</t>
    </rPh>
    <phoneticPr fontId="16"/>
  </si>
  <si>
    <t>楽天ペイによる支払時に、クーポンやポイントを複合しているパターンで計算方式通りに正しく計算出来ているか確認</t>
    <rPh sb="0" eb="2">
      <t>ラクテン</t>
    </rPh>
    <rPh sb="7" eb="9">
      <t>シハライ</t>
    </rPh>
    <rPh sb="9" eb="10">
      <t>ジ</t>
    </rPh>
    <rPh sb="22" eb="24">
      <t>フクゴウ</t>
    </rPh>
    <phoneticPr fontId="16"/>
  </si>
  <si>
    <t>ポイントのみ、クーポンのみで計算方式通りに正しく計算出来ているか確認</t>
    <rPh sb="14" eb="16">
      <t>ケイサン</t>
    </rPh>
    <rPh sb="16" eb="18">
      <t>ホウシキ</t>
    </rPh>
    <rPh sb="18" eb="19">
      <t>ドオ</t>
    </rPh>
    <rPh sb="21" eb="22">
      <t>タダ</t>
    </rPh>
    <rPh sb="24" eb="26">
      <t>ケイサン</t>
    </rPh>
    <rPh sb="26" eb="28">
      <t>デキ</t>
    </rPh>
    <rPh sb="32" eb="34">
      <t>カクニン</t>
    </rPh>
    <phoneticPr fontId="16"/>
  </si>
  <si>
    <t>差額発生時のメッセージ内容パターン確認</t>
    <rPh sb="0" eb="2">
      <t>サガク</t>
    </rPh>
    <rPh sb="2" eb="4">
      <t>ハッセイ</t>
    </rPh>
    <rPh sb="4" eb="5">
      <t>ジ</t>
    </rPh>
    <rPh sb="11" eb="13">
      <t>ナイヨウ</t>
    </rPh>
    <rPh sb="17" eb="19">
      <t>カクニン</t>
    </rPh>
    <phoneticPr fontId="16"/>
  </si>
  <si>
    <t>受注データ突合バッチ（売上送信後）(BRTM20402)</t>
    <rPh sb="15" eb="16">
      <t>アト</t>
    </rPh>
    <phoneticPr fontId="16"/>
  </si>
  <si>
    <t>楽天ペイ売上請求集計バッチ(BRTM20801)</t>
    <phoneticPr fontId="16"/>
  </si>
  <si>
    <t>請求金額不一致(現金返金あり)</t>
    <phoneticPr fontId="16"/>
  </si>
  <si>
    <t>請求金額不一致</t>
    <phoneticPr fontId="16"/>
  </si>
  <si>
    <t>メッセージ内容</t>
    <rPh sb="5" eb="7">
      <t>ナイヨウ</t>
    </rPh>
    <phoneticPr fontId="16"/>
  </si>
  <si>
    <t>対象外(メール本文に該当の楽天受注番号がない)</t>
    <rPh sb="0" eb="3">
      <t>タイショウガイ</t>
    </rPh>
    <rPh sb="7" eb="9">
      <t>ホンブン</t>
    </rPh>
    <rPh sb="10" eb="12">
      <t>ガイトウ</t>
    </rPh>
    <rPh sb="13" eb="19">
      <t>ラクテンジュチュウバンゴウ</t>
    </rPh>
    <phoneticPr fontId="16"/>
  </si>
  <si>
    <t>対象(メール本文に該当の楽天受注番号がある)</t>
    <rPh sb="0" eb="2">
      <t>タイショウ</t>
    </rPh>
    <rPh sb="6" eb="8">
      <t>ホンブン</t>
    </rPh>
    <rPh sb="9" eb="11">
      <t>ガイトウ</t>
    </rPh>
    <rPh sb="12" eb="18">
      <t>ラクテンジュチュウバンゴウ</t>
    </rPh>
    <phoneticPr fontId="16"/>
  </si>
  <si>
    <t>売上請求集計メール(◆差額内訳)</t>
    <phoneticPr fontId="16"/>
  </si>
  <si>
    <t>MCJ_RT_CT_2580-0001</t>
  </si>
  <si>
    <t>MCJ_RT_CT_2580-0002</t>
  </si>
  <si>
    <t>MCJ_RT_CT_2580-0003</t>
  </si>
  <si>
    <t>MCJ_RT_CT_2580-0004</t>
  </si>
  <si>
    <t>MCJ_RT_CT_2580-0005</t>
  </si>
  <si>
    <t>MCJ_RT_CT_2580-0006</t>
  </si>
  <si>
    <t>MCJ_RT_CT_2580-0007</t>
  </si>
  <si>
    <t>MCJ_RT_CT_2580-0008</t>
  </si>
  <si>
    <t>MCJ_RT_CT_2580-0009</t>
  </si>
  <si>
    <t>MCJ_RT_CT_2580-0010</t>
  </si>
  <si>
    <t>MCJ_RT_CT_2580-0011</t>
  </si>
  <si>
    <t>MCJ_RT_CT_2580-0012</t>
  </si>
  <si>
    <t>MCJ_RT_CT_2580-0013</t>
  </si>
  <si>
    <t>MCJ_RT_CT_2580-0014</t>
  </si>
  <si>
    <t>MCJ_RT_CT_2580-0015</t>
  </si>
  <si>
    <t>MCJ_RT_CT_2580-0016</t>
  </si>
  <si>
    <t>MCJ_RT_CT_2580-0017</t>
  </si>
  <si>
    <t>MCJ_RT_CT_2580-0018</t>
  </si>
  <si>
    <t>MCJ_RT_CT_2580-0019</t>
  </si>
  <si>
    <t>MCJ_RT_CT_2580-0020</t>
  </si>
  <si>
    <t>MCJ_RT_CT_2580-0021</t>
  </si>
  <si>
    <t>MCJ_RT_CT_2580-0022</t>
  </si>
  <si>
    <t>MCJ_RT_CT_2580-0023</t>
  </si>
  <si>
    <t>MCJ_RT_CT_2580-0024</t>
  </si>
  <si>
    <t>MCJ_RT_CT_2580-0025</t>
  </si>
  <si>
    <t>MCJ_RT_CT_2580-0026</t>
  </si>
  <si>
    <t>MCJ_RT_CT_2580-0027</t>
  </si>
  <si>
    <t>MCJ_RT_CT_2580-0028</t>
  </si>
  <si>
    <t>MCJ_RT_CT_2580-0029</t>
  </si>
  <si>
    <t>MCJ_RT_CT_2580-0030</t>
  </si>
  <si>
    <t>MCJ_RT_CT_2580-0031</t>
  </si>
  <si>
    <t>MCJ_RT_CT_2580-0032</t>
  </si>
  <si>
    <t>MCJ_RT_CT_2580-0033</t>
  </si>
  <si>
    <t>MCJ_RT_CT_2580-0034</t>
  </si>
  <si>
    <t>MCJ_RT_CT_2580-0035</t>
  </si>
  <si>
    <t>MCJ_RT_CT_2580-0036</t>
  </si>
  <si>
    <t>MCJ_RT_CT_2580-0037</t>
  </si>
  <si>
    <t>MCJ_RT_CT_2580-0038</t>
  </si>
  <si>
    <t>MCJ_RT_CT_2580-0039</t>
  </si>
  <si>
    <t>MCJ_RT_CT_2580-0040</t>
  </si>
  <si>
    <t>MCJ_RT_CT_2580-0041</t>
  </si>
  <si>
    <t>MCJ_RT_CT_2580-0042</t>
  </si>
  <si>
    <t>MCJ_RT_CT_2580-0043</t>
  </si>
  <si>
    <t>MCJ_RT_CT_2580-0044</t>
  </si>
  <si>
    <t>MCJ_RT_CT_2580-0045</t>
  </si>
  <si>
    <t>MCJ_RT_CT_2580-0046</t>
  </si>
  <si>
    <t>MCJ_RT_CT_2580-0047</t>
  </si>
  <si>
    <t>MCJ_RT_CT_2580-0048</t>
  </si>
  <si>
    <t>MCJ_RT_CT_2580-0049</t>
  </si>
  <si>
    <t>MCJ_RT_CT_2580-0050</t>
  </si>
  <si>
    <t>MCJ_RT_CT_2580-0051</t>
  </si>
  <si>
    <t>MCJ_RT_CT_2580-0052</t>
  </si>
  <si>
    <t>MCJ_RT_CT_2580-0053</t>
  </si>
  <si>
    <t>MCJ_RT_CT_2580-0054</t>
  </si>
  <si>
    <t>MCJ_RT_CT_2580-0055</t>
  </si>
  <si>
    <t>MCJ_RT_CT_2580-0056</t>
  </si>
  <si>
    <t>MCJ_RT_CT_2580-0057</t>
  </si>
  <si>
    <t>MCJ_RT_CT_2580-0058</t>
  </si>
  <si>
    <t>MCJ_RT_CT_2580-0059</t>
  </si>
  <si>
    <t>MCJ_RT_CT_2580-0060</t>
  </si>
  <si>
    <t>MCJ_RT_CT_2580-0061</t>
  </si>
  <si>
    <t>MCJ_RT_CT_2580-0062</t>
  </si>
  <si>
    <t>MCJ_RT_CT_2580-0063</t>
  </si>
  <si>
    <t>MCJ_RT_CT_2580-0064</t>
  </si>
  <si>
    <t>MCJ_RT_CT_2580-0065</t>
  </si>
  <si>
    <t>MCJ_RT_CT_2580-0066</t>
  </si>
  <si>
    <t>MCJ_RT_CT_2580-0067</t>
  </si>
  <si>
    <t>MCJ_RT_CT_2580-0068</t>
  </si>
  <si>
    <t>MCJ_RT_CT_2580-0069</t>
  </si>
  <si>
    <t>MCJ_RT_CT_2580-0070</t>
  </si>
  <si>
    <t>MCJ_RT_CT_2580-0071</t>
  </si>
  <si>
    <t>MCJ_RT_CT_2580-0072</t>
  </si>
  <si>
    <t>MCJ_RT_CT_2580-0073</t>
  </si>
  <si>
    <t>MCJ_RT_CT_2580-0074</t>
  </si>
  <si>
    <t>MCJ_RT_CT_2580-0075</t>
  </si>
  <si>
    <t>MCJ_RT_CT_2580-0076</t>
  </si>
  <si>
    <t>MCJ_RT_CT_2580-0077</t>
  </si>
  <si>
    <t>MCJ_RT_CT_2580-0078</t>
  </si>
  <si>
    <t>MCJ_RT_CT_2580-0079</t>
  </si>
  <si>
    <t>MCJ_RT_CT_2580-0080</t>
  </si>
  <si>
    <t>MCJ_RT_CT_2580-0081</t>
  </si>
  <si>
    <t>MCJ_RT_CT_2580-0082</t>
  </si>
  <si>
    <t>MCJ_RT_CT_2580-0083</t>
  </si>
  <si>
    <t>MCJ_RT_CT_2580-0084</t>
  </si>
  <si>
    <t>MCJ_RT_CT_2580-0085</t>
  </si>
  <si>
    <t>MCJ_RT_CT_2580-0086</t>
  </si>
  <si>
    <t>MCJ_RT_CT_2580-0087</t>
  </si>
  <si>
    <t>MCJ_RT_CT_2580-0088</t>
  </si>
  <si>
    <t>MCJ_RT_CT_2580-0089</t>
  </si>
  <si>
    <t>MCJ_RT_CT_2580-0090</t>
  </si>
  <si>
    <t>MCJ_RT_CT_2580-0091</t>
  </si>
  <si>
    <t>MCJ_RT_CT_2580-0092</t>
  </si>
  <si>
    <t>MCJ_RT_CT_2580-0093</t>
  </si>
  <si>
    <t>MCJ_RT_CT_2580-0094</t>
  </si>
  <si>
    <t>MCJ_RT_CT_2580-0095</t>
  </si>
  <si>
    <t>MCJ_RT_CT_2580-0096</t>
  </si>
  <si>
    <t>MCJ_RT_CT_2580-0097</t>
  </si>
  <si>
    <t>MCJ_RT_CT_2580-0098</t>
  </si>
  <si>
    <t>MCJ_RT_CT_2580-0099</t>
  </si>
  <si>
    <t>MCJ_RT_CT_2580-0100</t>
  </si>
  <si>
    <t>MCJ_RT_CT_2580-0101</t>
  </si>
  <si>
    <t>MCJ_RT_CT_2580-0102</t>
  </si>
  <si>
    <t>MCJ_RT_CT_2580-0103</t>
  </si>
  <si>
    <t>MCJ_RT_CT_2580-0104</t>
  </si>
  <si>
    <t>MCJ_RT_CT_2580-0105</t>
  </si>
  <si>
    <t>MCJ_RT_CT_2580-0106</t>
  </si>
  <si>
    <t>MCJ_RT_CT_2580-0107</t>
  </si>
  <si>
    <t>MCJ_RT_CT_2580-0108</t>
  </si>
  <si>
    <t>MCJ_RT_CT_2580-0109</t>
  </si>
  <si>
    <t>MCJ_RT_CT_2580-0110</t>
  </si>
  <si>
    <t>MCJ_RT_CT_2580-0111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</si>
</sst>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>
    <font>
      <sz val="10"/>
      <name val="ＭＳ 明朝"/>
      <family val="1"/>
      <charset val="128"/>
    </font>
    <font>
      <sz val="10"/>
      <name val="ＭＳ 明朝"/>
      <family val="1"/>
      <charset val="128"/>
    </font>
    <font>
      <sz val="16"/>
      <name val="ＭＳ 明朝"/>
      <family val="1"/>
      <charset val="128"/>
    </font>
    <font>
      <sz val="13"/>
      <name val="ＭＳ 明朝"/>
      <family val="1"/>
      <charset val="128"/>
    </font>
    <font>
      <sz val="11"/>
      <name val="明朝"/>
      <family val="1"/>
      <charset val="128"/>
    </font>
    <font>
      <sz val="10"/>
      <name val="ＭＳ 明朝"/>
      <family val="1"/>
      <charset val="128"/>
    </font>
    <font>
      <sz val="14"/>
      <name val="明朝"/>
      <family val="1"/>
      <charset val="128"/>
    </font>
    <font>
      <sz val="24"/>
      <name val="ＭＳ 明朝"/>
      <family val="1"/>
      <charset val="128"/>
    </font>
    <font>
      <sz val="14"/>
      <name val="ＭＳ 明朝"/>
      <family val="1"/>
      <charset val="128"/>
    </font>
    <font>
      <sz val="13"/>
      <color indexed="10"/>
      <name val="ＭＳ 明朝"/>
      <family val="1"/>
      <charset val="128"/>
    </font>
    <font>
      <sz val="12"/>
      <name val="ＭＳ 明朝"/>
      <family val="1"/>
      <charset val="128"/>
    </font>
    <font>
      <sz val="20"/>
      <name val="ＭＳ 明朝"/>
      <family val="1"/>
      <charset val="128"/>
    </font>
    <font>
      <sz val="18"/>
      <name val="ＭＳ 明朝"/>
      <family val="1"/>
      <charset val="128"/>
    </font>
    <font>
      <sz val="9"/>
      <name val="ＭＳ Ｐゴシック"/>
      <family val="3"/>
      <charset val="128"/>
    </font>
    <font>
      <sz val="11"/>
      <name val="ＭＳ 明朝"/>
      <family val="1"/>
      <charset val="128"/>
    </font>
    <font>
      <sz val="6"/>
      <name val="ＭＳ Ｐ明朝"/>
      <family val="1"/>
      <charset val="128"/>
    </font>
    <font>
      <sz val="6"/>
      <name val="ＭＳ 明朝"/>
      <family val="1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MS UI Gothic"/>
      <family val="3"/>
      <charset val="128"/>
    </font>
    <font>
      <sz val="9"/>
      <color rgb="FF000000"/>
      <name val="標準明朝"/>
      <family val="1"/>
      <charset val="128"/>
    </font>
    <font>
      <sz val="16"/>
      <color rgb="FF000000"/>
      <name val="ＭＳ 明朝"/>
      <family val="1"/>
      <charset val="128"/>
    </font>
    <font>
      <sz val="12"/>
      <color rgb="FF000000"/>
      <name val="ＭＳ 明朝"/>
      <family val="1"/>
      <charset val="128"/>
    </font>
    <font>
      <sz val="12"/>
      <color rgb="FF000000"/>
      <name val="標準明朝"/>
      <family val="1"/>
      <charset val="128"/>
    </font>
    <font>
      <b/>
      <sz val="12"/>
      <color rgb="FF000000"/>
      <name val="ＭＳ 明朝"/>
      <family val="1"/>
      <charset val="128"/>
    </font>
    <font>
      <b/>
      <sz val="12"/>
      <color rgb="FF000000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42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" fillId="0" borderId="0"/>
    <xf numFmtId="0" fontId="6" fillId="0" borderId="0"/>
    <xf numFmtId="0" fontId="19" fillId="0" borderId="0">
      <alignment vertical="center"/>
    </xf>
  </cellStyleXfs>
  <cellXfs count="231">
    <xf numFmtId="0" fontId="0" fillId="0" borderId="0" xfId="0"/>
    <xf numFmtId="0" fontId="0" fillId="0" borderId="0" xfId="0" applyBorder="1" applyAlignment="1">
      <alignment horizontal="center"/>
    </xf>
    <xf numFmtId="0" fontId="5" fillId="0" borderId="0" xfId="0" applyFont="1"/>
    <xf numFmtId="0" fontId="7" fillId="0" borderId="1" xfId="9" applyFont="1" applyBorder="1" applyAlignment="1">
      <alignment vertical="center"/>
    </xf>
    <xf numFmtId="0" fontId="7" fillId="0" borderId="1" xfId="9" applyFont="1" applyBorder="1" applyAlignment="1">
      <alignment horizontal="right" vertical="center"/>
    </xf>
    <xf numFmtId="0" fontId="8" fillId="0" borderId="0" xfId="9" applyFont="1" applyBorder="1" applyAlignment="1">
      <alignment vertical="center"/>
    </xf>
    <xf numFmtId="0" fontId="3" fillId="0" borderId="2" xfId="9" applyFont="1" applyBorder="1" applyAlignment="1">
      <alignment vertical="center" textRotation="90"/>
    </xf>
    <xf numFmtId="0" fontId="3" fillId="0" borderId="0" xfId="9" applyFont="1" applyBorder="1" applyAlignment="1">
      <alignment horizontal="center" vertical="center" textRotation="90"/>
    </xf>
    <xf numFmtId="0" fontId="4" fillId="0" borderId="0" xfId="8" applyBorder="1"/>
    <xf numFmtId="0" fontId="3" fillId="0" borderId="0" xfId="9" applyFont="1" applyBorder="1" applyAlignment="1">
      <alignment vertical="center" textRotation="90"/>
    </xf>
    <xf numFmtId="0" fontId="8" fillId="0" borderId="3" xfId="9" applyFont="1" applyBorder="1" applyAlignment="1">
      <alignment vertical="center"/>
    </xf>
    <xf numFmtId="0" fontId="3" fillId="0" borderId="4" xfId="9" applyFont="1" applyBorder="1" applyAlignment="1">
      <alignment horizontal="center" vertical="center"/>
    </xf>
    <xf numFmtId="0" fontId="3" fillId="0" borderId="5" xfId="9" applyFont="1" applyBorder="1" applyAlignment="1">
      <alignment horizontal="center" vertical="center"/>
    </xf>
    <xf numFmtId="0" fontId="8" fillId="0" borderId="6" xfId="9" applyFont="1" applyBorder="1" applyAlignment="1">
      <alignment vertical="center"/>
    </xf>
    <xf numFmtId="0" fontId="8" fillId="0" borderId="7" xfId="9" applyFont="1" applyBorder="1" applyAlignment="1">
      <alignment vertical="center"/>
    </xf>
    <xf numFmtId="0" fontId="8" fillId="0" borderId="8" xfId="9" applyFont="1" applyBorder="1" applyAlignment="1">
      <alignment horizontal="right" vertical="center"/>
    </xf>
    <xf numFmtId="0" fontId="3" fillId="0" borderId="8" xfId="9" applyFont="1" applyBorder="1" applyAlignment="1">
      <alignment horizontal="center" vertical="center"/>
    </xf>
    <xf numFmtId="0" fontId="3" fillId="0" borderId="9" xfId="9" applyFont="1" applyBorder="1" applyAlignment="1">
      <alignment horizontal="center" vertical="center"/>
    </xf>
    <xf numFmtId="0" fontId="8" fillId="0" borderId="10" xfId="9" applyFont="1" applyBorder="1" applyAlignment="1">
      <alignment vertical="center"/>
    </xf>
    <xf numFmtId="0" fontId="8" fillId="0" borderId="4" xfId="9" applyFont="1" applyBorder="1" applyAlignment="1">
      <alignment vertical="center"/>
    </xf>
    <xf numFmtId="0" fontId="8" fillId="0" borderId="4" xfId="9" applyFont="1" applyBorder="1" applyAlignment="1">
      <alignment horizontal="right" vertical="center"/>
    </xf>
    <xf numFmtId="0" fontId="8" fillId="0" borderId="2" xfId="9" applyFont="1" applyBorder="1" applyAlignment="1">
      <alignment vertical="center"/>
    </xf>
    <xf numFmtId="0" fontId="8" fillId="0" borderId="8" xfId="9" applyFont="1" applyBorder="1" applyAlignment="1">
      <alignment vertical="center"/>
    </xf>
    <xf numFmtId="0" fontId="10" fillId="0" borderId="7" xfId="9" applyFont="1" applyBorder="1" applyAlignment="1">
      <alignment horizontal="center" vertical="center"/>
    </xf>
    <xf numFmtId="0" fontId="8" fillId="0" borderId="0" xfId="9" applyFont="1" applyBorder="1" applyAlignment="1">
      <alignment horizontal="center" vertical="center"/>
    </xf>
    <xf numFmtId="0" fontId="8" fillId="0" borderId="0" xfId="9" applyFont="1" applyBorder="1" applyAlignment="1">
      <alignment vertical="center" wrapText="1"/>
    </xf>
    <xf numFmtId="0" fontId="3" fillId="0" borderId="0" xfId="9" applyFont="1" applyBorder="1" applyAlignment="1">
      <alignment horizontal="center" vertical="center"/>
    </xf>
    <xf numFmtId="0" fontId="8" fillId="0" borderId="11" xfId="9" applyFont="1" applyBorder="1" applyAlignment="1">
      <alignment vertical="center"/>
    </xf>
    <xf numFmtId="0" fontId="8" fillId="0" borderId="12" xfId="9" applyFont="1" applyBorder="1" applyAlignment="1">
      <alignment vertical="center"/>
    </xf>
    <xf numFmtId="0" fontId="8" fillId="0" borderId="11" xfId="9" applyFont="1" applyBorder="1" applyAlignment="1">
      <alignment horizontal="right" vertical="center"/>
    </xf>
    <xf numFmtId="0" fontId="8" fillId="0" borderId="13" xfId="9" applyFont="1" applyBorder="1" applyAlignment="1">
      <alignment vertical="center"/>
    </xf>
    <xf numFmtId="0" fontId="8" fillId="0" borderId="0" xfId="9" applyFont="1" applyBorder="1" applyAlignment="1">
      <alignment horizontal="right" vertical="center"/>
    </xf>
    <xf numFmtId="0" fontId="8" fillId="0" borderId="14" xfId="9" applyFont="1" applyBorder="1" applyAlignment="1">
      <alignment vertical="center"/>
    </xf>
    <xf numFmtId="0" fontId="11" fillId="0" borderId="0" xfId="9" applyFont="1" applyBorder="1" applyAlignment="1">
      <alignment vertic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0" borderId="18" xfId="9" applyFont="1" applyBorder="1" applyAlignment="1">
      <alignment vertical="center"/>
    </xf>
    <xf numFmtId="0" fontId="2" fillId="0" borderId="19" xfId="9" applyFont="1" applyBorder="1" applyAlignment="1">
      <alignment horizontal="center" vertical="center"/>
    </xf>
    <xf numFmtId="0" fontId="2" fillId="0" borderId="16" xfId="9" applyFont="1" applyBorder="1" applyAlignment="1">
      <alignment horizontal="center" vertical="center"/>
    </xf>
    <xf numFmtId="0" fontId="2" fillId="0" borderId="20" xfId="9" applyFont="1" applyBorder="1" applyAlignment="1">
      <alignment horizontal="center" vertical="center"/>
    </xf>
    <xf numFmtId="0" fontId="2" fillId="0" borderId="17" xfId="9" applyFont="1" applyBorder="1" applyAlignment="1">
      <alignment horizontal="center" vertical="center"/>
    </xf>
    <xf numFmtId="0" fontId="0" fillId="0" borderId="21" xfId="0" applyBorder="1" applyAlignment="1">
      <alignment horizontal="right"/>
    </xf>
    <xf numFmtId="0" fontId="8" fillId="0" borderId="0" xfId="9" applyFont="1" applyBorder="1" applyAlignment="1">
      <alignment horizontal="left" vertical="center"/>
    </xf>
    <xf numFmtId="0" fontId="11" fillId="0" borderId="0" xfId="9" applyFont="1" applyBorder="1" applyAlignment="1">
      <alignment horizontal="right" vertical="center"/>
    </xf>
    <xf numFmtId="0" fontId="8" fillId="0" borderId="22" xfId="9" applyFont="1" applyBorder="1" applyAlignment="1">
      <alignment vertical="center"/>
    </xf>
    <xf numFmtId="0" fontId="2" fillId="0" borderId="23" xfId="9" applyFont="1" applyBorder="1" applyAlignment="1">
      <alignment horizontal="center" vertical="center"/>
    </xf>
    <xf numFmtId="0" fontId="8" fillId="0" borderId="23" xfId="9" applyFont="1" applyBorder="1" applyAlignment="1">
      <alignment vertical="center"/>
    </xf>
    <xf numFmtId="0" fontId="12" fillId="0" borderId="0" xfId="0" applyFont="1"/>
    <xf numFmtId="1" fontId="2" fillId="0" borderId="24" xfId="0" applyNumberFormat="1" applyFont="1" applyBorder="1" applyAlignment="1">
      <alignment horizontal="right"/>
    </xf>
    <xf numFmtId="1" fontId="2" fillId="0" borderId="23" xfId="0" applyNumberFormat="1" applyFont="1" applyBorder="1" applyAlignment="1">
      <alignment horizontal="right"/>
    </xf>
    <xf numFmtId="0" fontId="3" fillId="0" borderId="23" xfId="9" applyFont="1" applyBorder="1" applyAlignment="1">
      <alignment horizontal="center" vertical="center"/>
    </xf>
    <xf numFmtId="0" fontId="3" fillId="0" borderId="25" xfId="9" applyFont="1" applyBorder="1" applyAlignment="1">
      <alignment horizontal="center" vertical="center"/>
    </xf>
    <xf numFmtId="0" fontId="0" fillId="0" borderId="4" xfId="0" applyBorder="1"/>
    <xf numFmtId="0" fontId="4" fillId="0" borderId="10" xfId="8" applyBorder="1"/>
    <xf numFmtId="0" fontId="10" fillId="0" borderId="10" xfId="9" applyFont="1" applyBorder="1" applyAlignment="1">
      <alignment vertical="center"/>
    </xf>
    <xf numFmtId="0" fontId="3" fillId="0" borderId="26" xfId="9" applyFont="1" applyBorder="1" applyAlignment="1">
      <alignment horizontal="center" vertical="center"/>
    </xf>
    <xf numFmtId="0" fontId="9" fillId="0" borderId="4" xfId="9" quotePrefix="1" applyFont="1" applyBorder="1" applyAlignment="1">
      <alignment horizontal="right" vertical="center" textRotation="90"/>
    </xf>
    <xf numFmtId="0" fontId="8" fillId="0" borderId="19" xfId="9" applyFont="1" applyBorder="1" applyAlignment="1">
      <alignment vertical="center"/>
    </xf>
    <xf numFmtId="0" fontId="2" fillId="0" borderId="10" xfId="9" applyFont="1" applyBorder="1" applyAlignment="1">
      <alignment vertical="center"/>
    </xf>
    <xf numFmtId="0" fontId="2" fillId="0" borderId="0" xfId="9" applyFont="1" applyBorder="1" applyAlignment="1">
      <alignment vertical="center"/>
    </xf>
    <xf numFmtId="0" fontId="2" fillId="0" borderId="4" xfId="9" applyFont="1" applyBorder="1" applyAlignment="1">
      <alignment vertical="center"/>
    </xf>
    <xf numFmtId="0" fontId="1" fillId="0" borderId="12" xfId="9" applyFont="1" applyBorder="1" applyAlignment="1">
      <alignment horizontal="center" vertical="center"/>
    </xf>
    <xf numFmtId="0" fontId="14" fillId="0" borderId="8" xfId="9" applyFont="1" applyBorder="1" applyAlignment="1">
      <alignment horizontal="center" textRotation="90"/>
    </xf>
    <xf numFmtId="0" fontId="14" fillId="0" borderId="9" xfId="9" applyFont="1" applyBorder="1" applyAlignment="1">
      <alignment horizontal="center" textRotation="90"/>
    </xf>
    <xf numFmtId="0" fontId="8" fillId="0" borderId="27" xfId="9" applyFont="1" applyBorder="1" applyAlignment="1">
      <alignment vertical="center"/>
    </xf>
    <xf numFmtId="0" fontId="14" fillId="0" borderId="23" xfId="8" applyFont="1" applyBorder="1" applyAlignment="1">
      <alignment textRotation="90"/>
    </xf>
    <xf numFmtId="0" fontId="3" fillId="0" borderId="4" xfId="9" applyNumberFormat="1" applyFont="1" applyBorder="1" applyAlignment="1">
      <alignment horizontal="center" vertical="center"/>
    </xf>
    <xf numFmtId="0" fontId="3" fillId="0" borderId="28" xfId="9" applyNumberFormat="1" applyFont="1" applyBorder="1" applyAlignment="1">
      <alignment horizontal="center" vertical="center"/>
    </xf>
    <xf numFmtId="176" fontId="3" fillId="0" borderId="8" xfId="9" applyNumberFormat="1" applyFont="1" applyFill="1" applyBorder="1" applyAlignment="1">
      <alignment horizontal="center" vertical="center"/>
    </xf>
    <xf numFmtId="176" fontId="3" fillId="0" borderId="29" xfId="9" applyNumberFormat="1" applyFont="1" applyFill="1" applyBorder="1" applyAlignment="1">
      <alignment horizontal="center" vertical="center"/>
    </xf>
    <xf numFmtId="176" fontId="3" fillId="2" borderId="8" xfId="9" applyNumberFormat="1" applyFont="1" applyFill="1" applyBorder="1" applyAlignment="1">
      <alignment horizontal="center" vertical="center"/>
    </xf>
    <xf numFmtId="176" fontId="3" fillId="2" borderId="29" xfId="9" applyNumberFormat="1" applyFont="1" applyFill="1" applyBorder="1" applyAlignment="1">
      <alignment horizontal="center" vertical="center"/>
    </xf>
    <xf numFmtId="0" fontId="8" fillId="0" borderId="30" xfId="9" applyFont="1" applyBorder="1" applyAlignment="1">
      <alignment vertical="center"/>
    </xf>
    <xf numFmtId="0" fontId="8" fillId="0" borderId="1" xfId="9" applyFont="1" applyBorder="1" applyAlignment="1">
      <alignment vertical="center"/>
    </xf>
    <xf numFmtId="0" fontId="8" fillId="0" borderId="31" xfId="9" applyFont="1" applyBorder="1" applyAlignment="1">
      <alignment vertical="center"/>
    </xf>
    <xf numFmtId="0" fontId="1" fillId="0" borderId="0" xfId="8" applyFont="1" applyBorder="1" applyAlignment="1">
      <alignment horizontal="left" vertical="top"/>
    </xf>
    <xf numFmtId="0" fontId="1" fillId="0" borderId="4" xfId="8" applyFont="1" applyBorder="1" applyAlignment="1">
      <alignment horizontal="left" vertical="top"/>
    </xf>
    <xf numFmtId="0" fontId="1" fillId="0" borderId="6" xfId="8" applyFont="1" applyBorder="1" applyAlignment="1">
      <alignment horizontal="left" vertical="top"/>
    </xf>
    <xf numFmtId="0" fontId="1" fillId="0" borderId="19" xfId="8" applyFont="1" applyBorder="1" applyAlignment="1">
      <alignment horizontal="left" vertical="top"/>
    </xf>
    <xf numFmtId="0" fontId="1" fillId="0" borderId="7" xfId="8" applyFont="1" applyBorder="1" applyAlignment="1">
      <alignment horizontal="left" vertical="top"/>
    </xf>
    <xf numFmtId="0" fontId="1" fillId="0" borderId="8" xfId="8" applyFont="1" applyBorder="1" applyAlignment="1">
      <alignment horizontal="left" vertical="top"/>
    </xf>
    <xf numFmtId="0" fontId="10" fillId="0" borderId="32" xfId="9" applyFont="1" applyBorder="1" applyAlignment="1">
      <alignment vertical="center"/>
    </xf>
    <xf numFmtId="0" fontId="8" fillId="0" borderId="0" xfId="9" applyFont="1" applyBorder="1" applyAlignment="1">
      <alignment horizontal="center" vertical="center"/>
    </xf>
    <xf numFmtId="0" fontId="8" fillId="0" borderId="36" xfId="9" applyFont="1" applyBorder="1" applyAlignment="1">
      <alignment horizontal="center" vertical="center"/>
    </xf>
    <xf numFmtId="0" fontId="8" fillId="0" borderId="12" xfId="9" applyFont="1" applyBorder="1" applyAlignment="1">
      <alignment horizontal="center" vertical="center"/>
    </xf>
    <xf numFmtId="0" fontId="8" fillId="0" borderId="11" xfId="9" applyFont="1" applyBorder="1" applyAlignment="1">
      <alignment horizontal="center" vertical="center"/>
    </xf>
    <xf numFmtId="0" fontId="8" fillId="0" borderId="0" xfId="9" applyFont="1" applyBorder="1" applyAlignment="1">
      <alignment horizontal="center" vertical="center"/>
    </xf>
    <xf numFmtId="0" fontId="8" fillId="0" borderId="12" xfId="9" applyFont="1" applyBorder="1" applyAlignment="1">
      <alignment horizontal="center" vertical="center"/>
    </xf>
    <xf numFmtId="0" fontId="8" fillId="0" borderId="11" xfId="9" applyFont="1" applyBorder="1" applyAlignment="1">
      <alignment horizontal="center" vertical="center"/>
    </xf>
    <xf numFmtId="0" fontId="14" fillId="0" borderId="10" xfId="8" applyFont="1" applyBorder="1"/>
    <xf numFmtId="0" fontId="1" fillId="0" borderId="35" xfId="8" applyFont="1" applyBorder="1" applyAlignment="1">
      <alignment horizontal="left" vertical="top"/>
    </xf>
    <xf numFmtId="0" fontId="1" fillId="0" borderId="34" xfId="8" applyFont="1" applyBorder="1" applyAlignment="1">
      <alignment horizontal="left" vertical="top"/>
    </xf>
    <xf numFmtId="0" fontId="1" fillId="0" borderId="26" xfId="8" applyFont="1" applyBorder="1" applyAlignment="1">
      <alignment horizontal="left" vertical="top"/>
    </xf>
    <xf numFmtId="0" fontId="1" fillId="0" borderId="38" xfId="8" applyFont="1" applyBorder="1" applyAlignment="1">
      <alignment horizontal="left" vertical="top"/>
    </xf>
    <xf numFmtId="0" fontId="1" fillId="0" borderId="37" xfId="8" applyFont="1" applyBorder="1" applyAlignment="1">
      <alignment horizontal="left" vertical="top"/>
    </xf>
    <xf numFmtId="0" fontId="1" fillId="0" borderId="39" xfId="8" applyFont="1" applyBorder="1" applyAlignment="1">
      <alignment horizontal="left" vertical="top"/>
    </xf>
    <xf numFmtId="0" fontId="1" fillId="0" borderId="40" xfId="8" applyFont="1" applyBorder="1" applyAlignment="1">
      <alignment horizontal="left" vertical="top"/>
    </xf>
    <xf numFmtId="0" fontId="1" fillId="0" borderId="41" xfId="8" applyFont="1" applyBorder="1" applyAlignment="1">
      <alignment horizontal="left" vertical="top"/>
    </xf>
    <xf numFmtId="0" fontId="8" fillId="0" borderId="39" xfId="9" applyFont="1" applyBorder="1" applyAlignment="1">
      <alignment vertical="center"/>
    </xf>
    <xf numFmtId="0" fontId="8" fillId="0" borderId="34" xfId="9" applyFont="1" applyBorder="1" applyAlignment="1">
      <alignment vertical="center"/>
    </xf>
    <xf numFmtId="0" fontId="10" fillId="0" borderId="10" xfId="9" applyFont="1" applyBorder="1" applyAlignment="1">
      <alignment vertical="top"/>
    </xf>
    <xf numFmtId="0" fontId="10" fillId="0" borderId="2" xfId="9" applyFont="1" applyBorder="1" applyAlignment="1">
      <alignment vertical="center"/>
    </xf>
    <xf numFmtId="0" fontId="10" fillId="0" borderId="10" xfId="9" applyFont="1" applyBorder="1" applyAlignment="1">
      <alignment vertical="center" wrapText="1"/>
    </xf>
    <xf numFmtId="0" fontId="8" fillId="0" borderId="0" xfId="9" applyFont="1" applyBorder="1" applyAlignment="1">
      <alignment horizontal="center" vertical="center"/>
    </xf>
    <xf numFmtId="0" fontId="8" fillId="0" borderId="12" xfId="9" applyFont="1" applyBorder="1" applyAlignment="1">
      <alignment horizontal="center" vertical="center"/>
    </xf>
    <xf numFmtId="0" fontId="8" fillId="0" borderId="11" xfId="9" applyFont="1" applyBorder="1" applyAlignment="1">
      <alignment horizontal="center" vertical="center"/>
    </xf>
    <xf numFmtId="0" fontId="1" fillId="0" borderId="37" xfId="9" applyFont="1" applyBorder="1" applyAlignment="1">
      <alignment horizontal="left" vertical="center"/>
    </xf>
    <xf numFmtId="0" fontId="1" fillId="0" borderId="0" xfId="8" applyFont="1" applyBorder="1" applyAlignment="1">
      <alignment horizontal="left" vertical="top"/>
    </xf>
    <xf numFmtId="0" fontId="1" fillId="0" borderId="4" xfId="8" applyFont="1" applyBorder="1" applyAlignment="1">
      <alignment horizontal="left" vertical="top"/>
    </xf>
    <xf numFmtId="0" fontId="14" fillId="3" borderId="23" xfId="8" applyFont="1" applyFill="1" applyBorder="1" applyAlignment="1">
      <alignment textRotation="90"/>
    </xf>
    <xf numFmtId="0" fontId="3" fillId="3" borderId="26" xfId="9" applyFont="1" applyFill="1" applyBorder="1" applyAlignment="1">
      <alignment horizontal="center" vertical="center"/>
    </xf>
    <xf numFmtId="0" fontId="3" fillId="3" borderId="23" xfId="9" applyFont="1" applyFill="1" applyBorder="1" applyAlignment="1">
      <alignment horizontal="center" vertical="center"/>
    </xf>
    <xf numFmtId="0" fontId="10" fillId="0" borderId="0" xfId="9" applyFont="1" applyBorder="1" applyAlignment="1">
      <alignment vertical="center"/>
    </xf>
    <xf numFmtId="0" fontId="1" fillId="3" borderId="0" xfId="9" applyFont="1" applyFill="1" applyBorder="1" applyAlignment="1">
      <alignment vertical="center"/>
    </xf>
    <xf numFmtId="0" fontId="1" fillId="0" borderId="0" xfId="9" applyFont="1" applyBorder="1" applyAlignment="1">
      <alignment vertical="center"/>
    </xf>
    <xf numFmtId="0" fontId="14" fillId="4" borderId="23" xfId="8" applyFont="1" applyFill="1" applyBorder="1" applyAlignment="1">
      <alignment textRotation="90"/>
    </xf>
    <xf numFmtId="0" fontId="3" fillId="4" borderId="23" xfId="9" applyFont="1" applyFill="1" applyBorder="1" applyAlignment="1">
      <alignment horizontal="center" vertical="center"/>
    </xf>
    <xf numFmtId="0" fontId="3" fillId="4" borderId="26" xfId="9" applyFont="1" applyFill="1" applyBorder="1" applyAlignment="1">
      <alignment horizontal="center" vertical="center"/>
    </xf>
    <xf numFmtId="0" fontId="8" fillId="4" borderId="0" xfId="9" applyFont="1" applyFill="1" applyBorder="1" applyAlignment="1">
      <alignment vertical="center"/>
    </xf>
    <xf numFmtId="0" fontId="14" fillId="5" borderId="23" xfId="8" applyFont="1" applyFill="1" applyBorder="1" applyAlignment="1">
      <alignment textRotation="90"/>
    </xf>
    <xf numFmtId="0" fontId="3" fillId="5" borderId="23" xfId="9" applyFont="1" applyFill="1" applyBorder="1" applyAlignment="1">
      <alignment horizontal="center" vertical="center"/>
    </xf>
    <xf numFmtId="0" fontId="3" fillId="5" borderId="26" xfId="9" applyFont="1" applyFill="1" applyBorder="1" applyAlignment="1">
      <alignment horizontal="center" vertical="center"/>
    </xf>
    <xf numFmtId="0" fontId="8" fillId="5" borderId="0" xfId="9" applyFont="1" applyFill="1" applyBorder="1" applyAlignment="1">
      <alignment vertical="center"/>
    </xf>
    <xf numFmtId="0" fontId="3" fillId="6" borderId="26" xfId="9" applyFont="1" applyFill="1" applyBorder="1" applyAlignment="1">
      <alignment horizontal="center" vertical="center"/>
    </xf>
    <xf numFmtId="0" fontId="3" fillId="6" borderId="23" xfId="9" applyFont="1" applyFill="1" applyBorder="1" applyAlignment="1">
      <alignment horizontal="center" vertical="center"/>
    </xf>
    <xf numFmtId="0" fontId="14" fillId="7" borderId="23" xfId="8" applyFont="1" applyFill="1" applyBorder="1" applyAlignment="1">
      <alignment textRotation="90"/>
    </xf>
    <xf numFmtId="0" fontId="3" fillId="7" borderId="23" xfId="9" applyFont="1" applyFill="1" applyBorder="1" applyAlignment="1">
      <alignment horizontal="center" vertical="center"/>
    </xf>
    <xf numFmtId="0" fontId="3" fillId="7" borderId="26" xfId="9" applyFont="1" applyFill="1" applyBorder="1" applyAlignment="1">
      <alignment horizontal="center" vertical="center"/>
    </xf>
    <xf numFmtId="0" fontId="8" fillId="7" borderId="0" xfId="9" applyFont="1" applyFill="1" applyBorder="1" applyAlignment="1">
      <alignment vertical="center"/>
    </xf>
    <xf numFmtId="0" fontId="14" fillId="8" borderId="23" xfId="8" applyFont="1" applyFill="1" applyBorder="1" applyAlignment="1">
      <alignment textRotation="90"/>
    </xf>
    <xf numFmtId="0" fontId="14" fillId="8" borderId="8" xfId="9" applyFont="1" applyFill="1" applyBorder="1" applyAlignment="1">
      <alignment horizontal="center" textRotation="90"/>
    </xf>
    <xf numFmtId="0" fontId="3" fillId="8" borderId="23" xfId="9" applyFont="1" applyFill="1" applyBorder="1" applyAlignment="1">
      <alignment horizontal="center" vertical="center"/>
    </xf>
    <xf numFmtId="0" fontId="3" fillId="8" borderId="26" xfId="9" applyFont="1" applyFill="1" applyBorder="1" applyAlignment="1">
      <alignment horizontal="center" vertical="center"/>
    </xf>
    <xf numFmtId="0" fontId="8" fillId="8" borderId="0" xfId="9" applyFont="1" applyFill="1" applyBorder="1" applyAlignment="1">
      <alignment vertical="center"/>
    </xf>
    <xf numFmtId="0" fontId="0" fillId="6" borderId="0" xfId="0" applyFill="1"/>
    <xf numFmtId="0" fontId="1" fillId="0" borderId="34" xfId="8" applyFont="1" applyBorder="1" applyAlignment="1">
      <alignment horizontal="left" vertical="top"/>
    </xf>
    <xf numFmtId="0" fontId="1" fillId="0" borderId="26" xfId="8" applyFont="1" applyBorder="1" applyAlignment="1">
      <alignment horizontal="left" vertical="top"/>
    </xf>
    <xf numFmtId="0" fontId="1" fillId="0" borderId="35" xfId="9" applyFont="1" applyBorder="1" applyAlignment="1">
      <alignment vertical="top" wrapText="1"/>
    </xf>
    <xf numFmtId="0" fontId="1" fillId="0" borderId="34" xfId="9" applyFont="1" applyBorder="1" applyAlignment="1">
      <alignment vertical="top" wrapText="1"/>
    </xf>
    <xf numFmtId="0" fontId="1" fillId="0" borderId="26" xfId="9" applyFont="1" applyBorder="1" applyAlignment="1">
      <alignment vertical="top" wrapText="1"/>
    </xf>
    <xf numFmtId="0" fontId="1" fillId="10" borderId="35" xfId="8" applyFont="1" applyFill="1" applyBorder="1" applyAlignment="1">
      <alignment horizontal="left" vertical="top"/>
    </xf>
    <xf numFmtId="0" fontId="1" fillId="10" borderId="34" xfId="8" applyFont="1" applyFill="1" applyBorder="1" applyAlignment="1">
      <alignment horizontal="left" vertical="top"/>
    </xf>
    <xf numFmtId="0" fontId="1" fillId="10" borderId="26" xfId="8" applyFont="1" applyFill="1" applyBorder="1" applyAlignment="1">
      <alignment horizontal="left" vertical="top"/>
    </xf>
    <xf numFmtId="0" fontId="3" fillId="10" borderId="26" xfId="9" applyFont="1" applyFill="1" applyBorder="1" applyAlignment="1">
      <alignment horizontal="center" vertical="center"/>
    </xf>
    <xf numFmtId="0" fontId="3" fillId="10" borderId="23" xfId="9" applyFont="1" applyFill="1" applyBorder="1" applyAlignment="1">
      <alignment horizontal="center" vertical="center"/>
    </xf>
    <xf numFmtId="0" fontId="3" fillId="10" borderId="25" xfId="9" applyFont="1" applyFill="1" applyBorder="1" applyAlignment="1">
      <alignment horizontal="center" vertical="center"/>
    </xf>
    <xf numFmtId="0" fontId="1" fillId="6" borderId="35" xfId="8" applyFont="1" applyFill="1" applyBorder="1" applyAlignment="1">
      <alignment horizontal="left" vertical="top"/>
    </xf>
    <xf numFmtId="0" fontId="1" fillId="6" borderId="34" xfId="8" applyFont="1" applyFill="1" applyBorder="1" applyAlignment="1">
      <alignment horizontal="left" vertical="top"/>
    </xf>
    <xf numFmtId="0" fontId="1" fillId="6" borderId="26" xfId="8" applyFont="1" applyFill="1" applyBorder="1" applyAlignment="1">
      <alignment horizontal="left" vertical="top"/>
    </xf>
    <xf numFmtId="0" fontId="3" fillId="6" borderId="25" xfId="9" applyFont="1" applyFill="1" applyBorder="1" applyAlignment="1">
      <alignment horizontal="center" vertical="center"/>
    </xf>
    <xf numFmtId="0" fontId="10" fillId="0" borderId="0" xfId="9" applyFont="1" applyBorder="1" applyAlignment="1">
      <alignment vertical="center" wrapText="1"/>
    </xf>
    <xf numFmtId="0" fontId="8" fillId="0" borderId="26" xfId="9" applyFont="1" applyBorder="1" applyAlignment="1">
      <alignment horizontal="right" vertical="center"/>
    </xf>
    <xf numFmtId="0" fontId="1" fillId="0" borderId="37" xfId="8" applyFont="1" applyBorder="1" applyAlignment="1">
      <alignment vertical="top"/>
    </xf>
    <xf numFmtId="0" fontId="1" fillId="0" borderId="39" xfId="8" applyFont="1" applyBorder="1" applyAlignment="1">
      <alignment vertical="top" wrapText="1"/>
    </xf>
    <xf numFmtId="0" fontId="1" fillId="0" borderId="40" xfId="8" applyFont="1" applyBorder="1" applyAlignment="1">
      <alignment vertical="top" wrapText="1"/>
    </xf>
    <xf numFmtId="0" fontId="14" fillId="9" borderId="23" xfId="8" applyFont="1" applyFill="1" applyBorder="1" applyAlignment="1">
      <alignment textRotation="90"/>
    </xf>
    <xf numFmtId="0" fontId="3" fillId="9" borderId="26" xfId="9" applyFont="1" applyFill="1" applyBorder="1" applyAlignment="1">
      <alignment horizontal="center" vertical="center"/>
    </xf>
    <xf numFmtId="0" fontId="3" fillId="9" borderId="23" xfId="9" applyFont="1" applyFill="1" applyBorder="1" applyAlignment="1">
      <alignment horizontal="center" vertical="center"/>
    </xf>
    <xf numFmtId="0" fontId="8" fillId="9" borderId="0" xfId="9" applyFont="1" applyFill="1" applyBorder="1" applyAlignment="1">
      <alignment vertical="center"/>
    </xf>
    <xf numFmtId="0" fontId="8" fillId="0" borderId="10" xfId="9" applyFont="1" applyBorder="1" applyAlignment="1">
      <alignment horizontal="center" vertical="center"/>
    </xf>
    <xf numFmtId="0" fontId="8" fillId="0" borderId="0" xfId="9" applyFont="1" applyBorder="1" applyAlignment="1">
      <alignment horizontal="center" vertical="center"/>
    </xf>
    <xf numFmtId="0" fontId="8" fillId="0" borderId="4" xfId="9" applyFont="1" applyBorder="1" applyAlignment="1">
      <alignment horizontal="center" vertical="center"/>
    </xf>
    <xf numFmtId="0" fontId="8" fillId="0" borderId="14" xfId="9" applyFont="1" applyBorder="1" applyAlignment="1">
      <alignment horizontal="center" vertical="center"/>
    </xf>
    <xf numFmtId="0" fontId="8" fillId="0" borderId="12" xfId="9" applyFont="1" applyBorder="1" applyAlignment="1">
      <alignment horizontal="center" vertical="center"/>
    </xf>
    <xf numFmtId="0" fontId="8" fillId="0" borderId="11" xfId="9" applyFont="1" applyBorder="1" applyAlignment="1">
      <alignment horizontal="center" vertical="center"/>
    </xf>
    <xf numFmtId="0" fontId="10" fillId="0" borderId="33" xfId="9" applyFont="1" applyBorder="1" applyAlignment="1">
      <alignment horizontal="center" vertical="center"/>
    </xf>
    <xf numFmtId="0" fontId="10" fillId="0" borderId="34" xfId="9" applyFont="1" applyBorder="1" applyAlignment="1">
      <alignment horizontal="center" vertical="center"/>
    </xf>
    <xf numFmtId="0" fontId="10" fillId="0" borderId="26" xfId="9" applyFont="1" applyBorder="1" applyAlignment="1">
      <alignment horizontal="center" vertical="center"/>
    </xf>
    <xf numFmtId="0" fontId="10" fillId="0" borderId="35" xfId="8" applyFont="1" applyBorder="1" applyAlignment="1">
      <alignment horizontal="center" vertical="center"/>
    </xf>
    <xf numFmtId="0" fontId="10" fillId="0" borderId="34" xfId="8" applyFont="1" applyBorder="1" applyAlignment="1">
      <alignment horizontal="center" vertical="center"/>
    </xf>
    <xf numFmtId="0" fontId="10" fillId="0" borderId="26" xfId="8" applyFont="1" applyBorder="1" applyAlignment="1">
      <alignment horizontal="center" vertical="center"/>
    </xf>
    <xf numFmtId="0" fontId="10" fillId="0" borderId="35" xfId="9" applyFont="1" applyBorder="1" applyAlignment="1">
      <alignment horizontal="center" vertical="center"/>
    </xf>
    <xf numFmtId="0" fontId="8" fillId="0" borderId="33" xfId="9" applyFont="1" applyBorder="1" applyAlignment="1">
      <alignment horizontal="center" vertical="center"/>
    </xf>
    <xf numFmtId="0" fontId="8" fillId="0" borderId="34" xfId="9" applyFont="1" applyBorder="1" applyAlignment="1">
      <alignment horizontal="center" vertical="center"/>
    </xf>
    <xf numFmtId="0" fontId="8" fillId="0" borderId="26" xfId="9" applyFont="1" applyBorder="1" applyAlignment="1">
      <alignment horizontal="center" vertical="center"/>
    </xf>
    <xf numFmtId="0" fontId="8" fillId="0" borderId="35" xfId="9" applyFont="1" applyBorder="1" applyAlignment="1">
      <alignment horizontal="center" vertical="center"/>
    </xf>
    <xf numFmtId="0" fontId="1" fillId="0" borderId="35" xfId="8" applyFont="1" applyBorder="1" applyAlignment="1">
      <alignment vertical="top" wrapText="1"/>
    </xf>
    <xf numFmtId="0" fontId="1" fillId="0" borderId="34" xfId="8" applyFont="1" applyBorder="1" applyAlignment="1">
      <alignment vertical="top" wrapText="1"/>
    </xf>
    <xf numFmtId="0" fontId="1" fillId="0" borderId="26" xfId="8" applyFont="1" applyBorder="1" applyAlignment="1">
      <alignment vertical="top" wrapText="1"/>
    </xf>
    <xf numFmtId="0" fontId="1" fillId="0" borderId="35" xfId="8" applyFont="1" applyBorder="1" applyAlignment="1">
      <alignment horizontal="left" vertical="top" wrapText="1"/>
    </xf>
    <xf numFmtId="0" fontId="1" fillId="0" borderId="34" xfId="8" applyFont="1" applyBorder="1" applyAlignment="1">
      <alignment horizontal="left" vertical="top" wrapText="1"/>
    </xf>
    <xf numFmtId="0" fontId="1" fillId="0" borderId="26" xfId="8" applyFont="1" applyBorder="1" applyAlignment="1">
      <alignment horizontal="left" vertical="top" wrapText="1"/>
    </xf>
    <xf numFmtId="0" fontId="0" fillId="0" borderId="19" xfId="9" applyFont="1" applyBorder="1" applyAlignment="1">
      <alignment horizontal="center" vertical="center" wrapText="1"/>
    </xf>
    <xf numFmtId="0" fontId="0" fillId="0" borderId="0" xfId="9" applyFont="1" applyBorder="1" applyAlignment="1">
      <alignment horizontal="center" vertical="center" wrapText="1"/>
    </xf>
    <xf numFmtId="0" fontId="0" fillId="0" borderId="4" xfId="9" applyFont="1" applyBorder="1" applyAlignment="1">
      <alignment horizontal="center" vertical="center" wrapText="1"/>
    </xf>
    <xf numFmtId="0" fontId="0" fillId="0" borderId="6" xfId="9" applyFont="1" applyBorder="1" applyAlignment="1">
      <alignment horizontal="center" vertical="center" wrapText="1"/>
    </xf>
    <xf numFmtId="0" fontId="0" fillId="0" borderId="7" xfId="9" applyFont="1" applyBorder="1" applyAlignment="1">
      <alignment horizontal="center" vertical="center" wrapText="1"/>
    </xf>
    <xf numFmtId="0" fontId="0" fillId="0" borderId="8" xfId="9" applyFont="1" applyBorder="1" applyAlignment="1">
      <alignment horizontal="center" vertical="center" wrapText="1"/>
    </xf>
    <xf numFmtId="0" fontId="17" fillId="0" borderId="35" xfId="8" applyFont="1" applyBorder="1" applyAlignment="1">
      <alignment horizontal="center" vertical="center"/>
    </xf>
    <xf numFmtId="0" fontId="17" fillId="0" borderId="34" xfId="8" applyFont="1" applyBorder="1" applyAlignment="1">
      <alignment horizontal="center" vertical="center"/>
    </xf>
    <xf numFmtId="0" fontId="17" fillId="0" borderId="26" xfId="8" applyFont="1" applyBorder="1" applyAlignment="1">
      <alignment horizontal="center" vertical="center"/>
    </xf>
    <xf numFmtId="0" fontId="1" fillId="0" borderId="37" xfId="8" applyFont="1" applyBorder="1" applyAlignment="1">
      <alignment horizontal="left" vertical="center" wrapText="1"/>
    </xf>
    <xf numFmtId="0" fontId="1" fillId="0" borderId="39" xfId="8" applyFont="1" applyBorder="1" applyAlignment="1">
      <alignment horizontal="left" vertical="center" wrapText="1"/>
    </xf>
    <xf numFmtId="0" fontId="1" fillId="0" borderId="40" xfId="8" applyFont="1" applyBorder="1" applyAlignment="1">
      <alignment horizontal="left" vertical="center" wrapText="1"/>
    </xf>
    <xf numFmtId="0" fontId="1" fillId="0" borderId="35" xfId="8" applyFont="1" applyBorder="1" applyAlignment="1">
      <alignment horizontal="left" vertical="center" wrapText="1"/>
    </xf>
    <xf numFmtId="0" fontId="1" fillId="0" borderId="34" xfId="8" applyFont="1" applyBorder="1" applyAlignment="1">
      <alignment horizontal="left" vertical="center" wrapText="1"/>
    </xf>
    <xf numFmtId="0" fontId="1" fillId="0" borderId="26" xfId="8" applyFont="1" applyBorder="1" applyAlignment="1">
      <alignment horizontal="left" vertical="center" wrapText="1"/>
    </xf>
    <xf numFmtId="0" fontId="1" fillId="0" borderId="19" xfId="8" applyFont="1" applyBorder="1" applyAlignment="1">
      <alignment horizontal="left" vertical="top" wrapText="1"/>
    </xf>
    <xf numFmtId="0" fontId="1" fillId="0" borderId="0" xfId="8" applyFont="1" applyBorder="1" applyAlignment="1">
      <alignment horizontal="left" vertical="top"/>
    </xf>
    <xf numFmtId="0" fontId="1" fillId="0" borderId="4" xfId="8" applyFont="1" applyBorder="1" applyAlignment="1">
      <alignment horizontal="left" vertical="top"/>
    </xf>
    <xf numFmtId="0" fontId="1" fillId="0" borderId="34" xfId="8" applyFont="1" applyBorder="1" applyAlignment="1">
      <alignment horizontal="left" vertical="top"/>
    </xf>
    <xf numFmtId="0" fontId="1" fillId="0" borderId="26" xfId="8" applyFont="1" applyBorder="1" applyAlignment="1">
      <alignment horizontal="left" vertical="top"/>
    </xf>
    <xf numFmtId="0" fontId="1" fillId="0" borderId="6" xfId="9" applyFont="1" applyBorder="1" applyAlignment="1">
      <alignment horizontal="left" vertical="top" wrapText="1"/>
    </xf>
    <xf numFmtId="0" fontId="1" fillId="0" borderId="7" xfId="9" applyFont="1" applyBorder="1" applyAlignment="1">
      <alignment horizontal="left" vertical="top" wrapText="1"/>
    </xf>
    <xf numFmtId="0" fontId="1" fillId="0" borderId="8" xfId="9" applyFont="1" applyBorder="1" applyAlignment="1">
      <alignment horizontal="left" vertical="top" wrapText="1"/>
    </xf>
    <xf numFmtId="0" fontId="8" fillId="0" borderId="7" xfId="9" applyFont="1" applyBorder="1" applyAlignment="1">
      <alignment horizontal="left" vertical="center"/>
    </xf>
    <xf numFmtId="0" fontId="8" fillId="0" borderId="8" xfId="9" applyFont="1" applyBorder="1" applyAlignment="1">
      <alignment horizontal="left" vertical="center"/>
    </xf>
    <xf numFmtId="0" fontId="14" fillId="11" borderId="23" xfId="8" applyFont="1" applyFill="1" applyBorder="1" applyAlignment="1">
      <alignment textRotation="90"/>
    </xf>
    <xf numFmtId="0" fontId="14" fillId="11" borderId="8" xfId="9" applyFont="1" applyFill="1" applyBorder="1" applyAlignment="1">
      <alignment horizontal="center" textRotation="90"/>
    </xf>
    <xf numFmtId="0" fontId="3" fillId="11" borderId="23" xfId="9" applyFont="1" applyFill="1" applyBorder="1" applyAlignment="1">
      <alignment horizontal="center" vertical="center"/>
    </xf>
    <xf numFmtId="0" fontId="3" fillId="11" borderId="26" xfId="9" applyFont="1" applyFill="1" applyBorder="1" applyAlignment="1">
      <alignment horizontal="center" vertical="center"/>
    </xf>
    <xf numFmtId="0" fontId="1" fillId="11" borderId="0" xfId="9" applyFont="1" applyFill="1" applyBorder="1" applyAlignment="1">
      <alignment vertical="center"/>
    </xf>
    <xf numFmtId="0" fontId="8" fillId="11" borderId="0" xfId="9" applyFont="1" applyFill="1" applyBorder="1" applyAlignment="1">
      <alignment vertical="center"/>
    </xf>
    <xf numFmtId="0" fontId="14" fillId="7" borderId="8" xfId="9" applyFont="1" applyFill="1" applyBorder="1" applyAlignment="1">
      <alignment horizontal="center" textRotation="90"/>
    </xf>
    <xf numFmtId="0" fontId="14" fillId="6" borderId="23" xfId="8" applyFont="1" applyFill="1" applyBorder="1" applyAlignment="1">
      <alignment textRotation="90"/>
    </xf>
    <xf numFmtId="0" fontId="14" fillId="6" borderId="8" xfId="9" applyFont="1" applyFill="1" applyBorder="1" applyAlignment="1">
      <alignment horizontal="center" textRotation="90"/>
    </xf>
    <xf numFmtId="0" fontId="8" fillId="6" borderId="0" xfId="9" applyFont="1" applyFill="1" applyBorder="1" applyAlignment="1">
      <alignment vertical="center"/>
    </xf>
    <xf numFmtId="0" fontId="1" fillId="6" borderId="0" xfId="9" applyFont="1" applyFill="1" applyBorder="1" applyAlignment="1">
      <alignment vertical="center"/>
    </xf>
    <xf numFmtId="0" fontId="1" fillId="0" borderId="0" xfId="8" applyFont="1" applyBorder="1" applyAlignment="1">
      <alignment horizontal="left" vertical="top" wrapText="1"/>
    </xf>
    <xf numFmtId="0" fontId="1" fillId="0" borderId="0" xfId="9" applyFont="1" applyBorder="1" applyAlignment="1">
      <alignment horizontal="left" vertical="top" wrapText="1"/>
    </xf>
    <xf numFmtId="0" fontId="1" fillId="0" borderId="4" xfId="9" applyFont="1" applyBorder="1" applyAlignment="1">
      <alignment horizontal="left" vertical="top" wrapText="1"/>
    </xf>
    <xf numFmtId="0" fontId="1" fillId="0" borderId="0" xfId="9" applyFont="1" applyBorder="1" applyAlignment="1">
      <alignment vertical="top" wrapText="1"/>
    </xf>
    <xf numFmtId="0" fontId="1" fillId="0" borderId="4" xfId="9" applyFont="1" applyBorder="1" applyAlignment="1">
      <alignment vertical="top" wrapText="1"/>
    </xf>
    <xf numFmtId="0" fontId="1" fillId="0" borderId="7" xfId="9" applyFont="1" applyBorder="1" applyAlignment="1">
      <alignment vertical="top" wrapText="1"/>
    </xf>
    <xf numFmtId="0" fontId="1" fillId="0" borderId="8" xfId="9" applyFont="1" applyBorder="1" applyAlignment="1">
      <alignment vertical="top" wrapText="1"/>
    </xf>
    <xf numFmtId="0" fontId="1" fillId="0" borderId="0" xfId="8" applyFont="1" applyBorder="1" applyAlignment="1">
      <alignment vertical="top"/>
    </xf>
    <xf numFmtId="0" fontId="1" fillId="0" borderId="0" xfId="8" applyFont="1" applyBorder="1" applyAlignment="1">
      <alignment vertical="top" wrapText="1"/>
    </xf>
    <xf numFmtId="0" fontId="1" fillId="0" borderId="4" xfId="8" applyFont="1" applyBorder="1" applyAlignment="1">
      <alignment vertical="top" wrapText="1"/>
    </xf>
    <xf numFmtId="0" fontId="8" fillId="0" borderId="41" xfId="9" applyFont="1" applyBorder="1" applyAlignment="1">
      <alignment vertical="center"/>
    </xf>
  </cellXfs>
  <cellStyles count="11">
    <cellStyle name="標準" xfId="0" builtinId="0"/>
    <cellStyle name="標準 2" xfId="1" xr:uid="{00000000-0005-0000-0000-000001000000}"/>
    <cellStyle name="標準 2 2" xfId="10" xr:uid="{29D23CF8-D02F-4D23-975D-DFFFB0F46BD3}"/>
    <cellStyle name="標準 3" xfId="2" xr:uid="{00000000-0005-0000-0000-000002000000}"/>
    <cellStyle name="標準 4" xfId="3" xr:uid="{00000000-0005-0000-0000-000003000000}"/>
    <cellStyle name="標準 5" xfId="4" xr:uid="{00000000-0005-0000-0000-000004000000}"/>
    <cellStyle name="標準 6" xfId="5" xr:uid="{00000000-0005-0000-0000-000005000000}"/>
    <cellStyle name="標準 7" xfId="6" xr:uid="{00000000-0005-0000-0000-000006000000}"/>
    <cellStyle name="標準 9" xfId="7" xr:uid="{00000000-0005-0000-0000-000007000000}"/>
    <cellStyle name="標準_PCL" xfId="8" xr:uid="{00000000-0005-0000-0000-000008000000}"/>
    <cellStyle name="標準_SYSWIN1" xfId="9" xr:uid="{00000000-0005-0000-0000-000009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1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dialogsheet" Target="dialogsheets/sheet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dialogsheet" Target="dialog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dialogsheet" Target="dialog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dialog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dialog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DDA7CC0-3FF6-4020-82FB-694340DF3B88}">
  <sheetViews>
    <sheetView showRowColHeaders="0" showZeros="0" showOutlineSymbols="0" workbookViewId="0"/>
  </sheetViews>
  <sheetFormatPr defaultColWidth="0.85546875" defaultRowHeight="4.9000000000000004" customHeight="1"/>
  <sheetProtection sheet="1"/>
  <printOptions gridLinesSet="0"/>
  <pageMargins left="0.78700000000000003" right="0.78700000000000003" top="0.98399999999999999" bottom="0.98399999999999999" header="0.5" footer="0.5"/>
  <headerFooter alignWithMargins="0">
    <oddHeader>&amp;A</oddHeader>
    <oddFooter>- &amp;P -</oddFooter>
  </headerFooter>
  <legacyDrawing r:id="rId1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26790BB-DEEC-492E-9A00-8AC898DB1DBA}">
  <sheetViews>
    <sheetView showRowColHeaders="0" showZeros="0" showOutlineSymbols="0" workbookViewId="0"/>
  </sheetViews>
  <sheetFormatPr defaultColWidth="0.85546875" defaultRowHeight="4.9000000000000004" customHeight="1"/>
  <sheetProtection sheet="1"/>
  <printOptions gridLinesSet="0"/>
  <pageMargins left="0.78700000000000003" right="0.78700000000000003" top="0.98399999999999999" bottom="0.98399999999999999" header="0.5" footer="0.5"/>
  <headerFooter alignWithMargins="0">
    <oddHeader>&amp;A</oddHeader>
    <oddFooter>- &amp;P -</oddFooter>
  </headerFooter>
  <legacyDrawing r:id="rId1"/>
</dialogsheet>
</file>

<file path=xl/dialogsheets/sheet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268846D-188A-43D3-B1AE-F1BD3352605A}">
  <sheetViews>
    <sheetView showRowColHeaders="0" showZeros="0" showOutlineSymbols="0" workbookViewId="0"/>
  </sheetViews>
  <sheetFormatPr defaultColWidth="0.85546875" defaultRowHeight="4.9000000000000004" customHeight="1"/>
  <sheetProtection sheet="1"/>
  <printOptions gridLinesSet="0"/>
  <pageMargins left="0.78700000000000003" right="0.78700000000000003" top="0.98399999999999999" bottom="0.98399999999999999" header="0.5" footer="0.5"/>
  <headerFooter alignWithMargins="0">
    <oddHeader>&amp;A</oddHeader>
    <oddFooter>- &amp;P -</oddFooter>
  </headerFooter>
  <legacyDrawing r:id="rId1"/>
</dialogsheet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4</xdr:row>
          <xdr:rowOff>57150</xdr:rowOff>
        </xdr:from>
        <xdr:to>
          <xdr:col>6</xdr:col>
          <xdr:colOff>257175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標準明朝"/>
                  <a:ea typeface="標準明朝"/>
                </a:rPr>
                <a:t>チェックＩＤ作成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11</xdr:row>
          <xdr:rowOff>47625</xdr:rowOff>
        </xdr:from>
        <xdr:to>
          <xdr:col>6</xdr:col>
          <xdr:colOff>285750</xdr:colOff>
          <xdr:row>13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標準明朝"/>
                  <a:ea typeface="標準明朝"/>
                </a:rPr>
                <a:t>合計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54</xdr:row>
      <xdr:rowOff>9525</xdr:rowOff>
    </xdr:from>
    <xdr:to>
      <xdr:col>14</xdr:col>
      <xdr:colOff>9525</xdr:colOff>
      <xdr:row>56</xdr:row>
      <xdr:rowOff>0</xdr:rowOff>
    </xdr:to>
    <xdr:sp macro="" textlink="">
      <xdr:nvSpPr>
        <xdr:cNvPr id="2" name="テキスト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2152650" y="10991850"/>
          <a:ext cx="1743075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テスト仕様書番号</a:t>
          </a: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13</xdr:col>
      <xdr:colOff>0</xdr:colOff>
      <xdr:row>60</xdr:row>
      <xdr:rowOff>0</xdr:rowOff>
    </xdr:to>
    <xdr:sp macro="" textlink="">
      <xdr:nvSpPr>
        <xdr:cNvPr id="3" name="テキスト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2143125" y="11363325"/>
          <a:ext cx="952500" cy="762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確認日</a:t>
          </a:r>
        </a:p>
      </xdr:txBody>
    </xdr:sp>
    <xdr:clientData/>
  </xdr:twoCellAnchor>
  <xdr:twoCellAnchor>
    <xdr:from>
      <xdr:col>0</xdr:col>
      <xdr:colOff>0</xdr:colOff>
      <xdr:row>54</xdr:row>
      <xdr:rowOff>0</xdr:rowOff>
    </xdr:from>
    <xdr:to>
      <xdr:col>2</xdr:col>
      <xdr:colOff>219075</xdr:colOff>
      <xdr:row>57</xdr:row>
      <xdr:rowOff>180975</xdr:rowOff>
    </xdr:to>
    <xdr:sp macro="" textlink="">
      <xdr:nvSpPr>
        <xdr:cNvPr id="4" name="テキスト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0" y="10982325"/>
          <a:ext cx="695325" cy="752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ﾀｲﾄﾙ</a:t>
          </a:r>
        </a:p>
      </xdr:txBody>
    </xdr:sp>
    <xdr:clientData/>
  </xdr:twoCellAnchor>
  <xdr:twoCellAnchor>
    <xdr:from>
      <xdr:col>13</xdr:col>
      <xdr:colOff>0</xdr:colOff>
      <xdr:row>56</xdr:row>
      <xdr:rowOff>0</xdr:rowOff>
    </xdr:from>
    <xdr:to>
      <xdr:col>14</xdr:col>
      <xdr:colOff>0</xdr:colOff>
      <xdr:row>58</xdr:row>
      <xdr:rowOff>0</xdr:rowOff>
    </xdr:to>
    <xdr:sp macro="" textlink="">
      <xdr:nvSpPr>
        <xdr:cNvPr id="5" name="テキスト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3095625" y="11363325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机上</a:t>
          </a:r>
        </a:p>
      </xdr:txBody>
    </xdr:sp>
    <xdr:clientData/>
  </xdr:twoCellAnchor>
  <xdr:twoCellAnchor>
    <xdr:from>
      <xdr:col>13</xdr:col>
      <xdr:colOff>0</xdr:colOff>
      <xdr:row>58</xdr:row>
      <xdr:rowOff>0</xdr:rowOff>
    </xdr:from>
    <xdr:to>
      <xdr:col>14</xdr:col>
      <xdr:colOff>0</xdr:colOff>
      <xdr:row>60</xdr:row>
      <xdr:rowOff>0</xdr:rowOff>
    </xdr:to>
    <xdr:sp macro="" textlink="">
      <xdr:nvSpPr>
        <xdr:cNvPr id="6" name="テキスト 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3095625" y="11744325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マシン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13</xdr:col>
      <xdr:colOff>792480</xdr:colOff>
      <xdr:row>1</xdr:row>
      <xdr:rowOff>1706880</xdr:rowOff>
    </xdr:to>
    <xdr:sp macro="" textlink="">
      <xdr:nvSpPr>
        <xdr:cNvPr id="364799" name="Line 8">
          <a:extLst>
            <a:ext uri="{FF2B5EF4-FFF2-40B4-BE49-F238E27FC236}">
              <a16:creationId xmlns:a16="http://schemas.microsoft.com/office/drawing/2014/main" id="{00000000-0008-0000-0300-0000FF900500}"/>
            </a:ext>
          </a:extLst>
        </xdr:cNvPr>
        <xdr:cNvSpPr>
          <a:spLocks noChangeShapeType="1"/>
        </xdr:cNvSpPr>
      </xdr:nvSpPr>
      <xdr:spPr bwMode="auto">
        <a:xfrm>
          <a:off x="0" y="312420"/>
          <a:ext cx="3962400" cy="170688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95250</xdr:colOff>
      <xdr:row>1</xdr:row>
      <xdr:rowOff>1419225</xdr:rowOff>
    </xdr:from>
    <xdr:to>
      <xdr:col>12</xdr:col>
      <xdr:colOff>152400</xdr:colOff>
      <xdr:row>1</xdr:row>
      <xdr:rowOff>1676400</xdr:rowOff>
    </xdr:to>
    <xdr:sp macro="" textlink="">
      <xdr:nvSpPr>
        <xdr:cNvPr id="8" name="テキスト 1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95250" y="1733550"/>
          <a:ext cx="2914650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チェック条件／確認内容</a:t>
          </a:r>
        </a:p>
      </xdr:txBody>
    </xdr:sp>
    <xdr:clientData/>
  </xdr:twoCellAnchor>
  <xdr:twoCellAnchor>
    <xdr:from>
      <xdr:col>9</xdr:col>
      <xdr:colOff>76200</xdr:colOff>
      <xdr:row>1</xdr:row>
      <xdr:rowOff>123825</xdr:rowOff>
    </xdr:from>
    <xdr:to>
      <xdr:col>13</xdr:col>
      <xdr:colOff>653396</xdr:colOff>
      <xdr:row>1</xdr:row>
      <xdr:rowOff>333375</xdr:rowOff>
    </xdr:to>
    <xdr:sp macro="" textlink="">
      <xdr:nvSpPr>
        <xdr:cNvPr id="9" name="テキスト 1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2219325" y="438150"/>
          <a:ext cx="1514475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チェックＩＤ</a:t>
          </a:r>
        </a:p>
      </xdr:txBody>
    </xdr:sp>
    <xdr:clientData/>
  </xdr:twoCellAnchor>
  <xdr:twoCellAnchor>
    <xdr:from>
      <xdr:col>28</xdr:col>
      <xdr:colOff>182880</xdr:colOff>
      <xdr:row>65</xdr:row>
      <xdr:rowOff>106680</xdr:rowOff>
    </xdr:from>
    <xdr:to>
      <xdr:col>29</xdr:col>
      <xdr:colOff>144780</xdr:colOff>
      <xdr:row>67</xdr:row>
      <xdr:rowOff>121920</xdr:rowOff>
    </xdr:to>
    <xdr:sp macro="" textlink="">
      <xdr:nvSpPr>
        <xdr:cNvPr id="364802" name="Line 11">
          <a:extLst>
            <a:ext uri="{FF2B5EF4-FFF2-40B4-BE49-F238E27FC236}">
              <a16:creationId xmlns:a16="http://schemas.microsoft.com/office/drawing/2014/main" id="{00000000-0008-0000-0300-000002910500}"/>
            </a:ext>
          </a:extLst>
        </xdr:cNvPr>
        <xdr:cNvSpPr>
          <a:spLocks noChangeShapeType="1"/>
        </xdr:cNvSpPr>
      </xdr:nvSpPr>
      <xdr:spPr bwMode="auto">
        <a:xfrm flipV="1">
          <a:off x="7581900" y="13182600"/>
          <a:ext cx="205740" cy="3962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30480</xdr:colOff>
      <xdr:row>56</xdr:row>
      <xdr:rowOff>152400</xdr:rowOff>
    </xdr:from>
    <xdr:to>
      <xdr:col>14</xdr:col>
      <xdr:colOff>220980</xdr:colOff>
      <xdr:row>57</xdr:row>
      <xdr:rowOff>38100</xdr:rowOff>
    </xdr:to>
    <xdr:sp macro="" textlink="">
      <xdr:nvSpPr>
        <xdr:cNvPr id="364803" name="Line 20">
          <a:extLst>
            <a:ext uri="{FF2B5EF4-FFF2-40B4-BE49-F238E27FC236}">
              <a16:creationId xmlns:a16="http://schemas.microsoft.com/office/drawing/2014/main" id="{00000000-0008-0000-0300-000003910500}"/>
            </a:ext>
          </a:extLst>
        </xdr:cNvPr>
        <xdr:cNvSpPr>
          <a:spLocks noChangeShapeType="1"/>
        </xdr:cNvSpPr>
      </xdr:nvSpPr>
      <xdr:spPr bwMode="auto">
        <a:xfrm flipV="1">
          <a:off x="401574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30480</xdr:colOff>
      <xdr:row>56</xdr:row>
      <xdr:rowOff>152400</xdr:rowOff>
    </xdr:from>
    <xdr:to>
      <xdr:col>15</xdr:col>
      <xdr:colOff>220980</xdr:colOff>
      <xdr:row>57</xdr:row>
      <xdr:rowOff>38100</xdr:rowOff>
    </xdr:to>
    <xdr:sp macro="" textlink="">
      <xdr:nvSpPr>
        <xdr:cNvPr id="364804" name="Line 21">
          <a:extLst>
            <a:ext uri="{FF2B5EF4-FFF2-40B4-BE49-F238E27FC236}">
              <a16:creationId xmlns:a16="http://schemas.microsoft.com/office/drawing/2014/main" id="{00000000-0008-0000-0300-000004910500}"/>
            </a:ext>
          </a:extLst>
        </xdr:cNvPr>
        <xdr:cNvSpPr>
          <a:spLocks noChangeShapeType="1"/>
        </xdr:cNvSpPr>
      </xdr:nvSpPr>
      <xdr:spPr bwMode="auto">
        <a:xfrm flipV="1">
          <a:off x="425958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30480</xdr:colOff>
      <xdr:row>56</xdr:row>
      <xdr:rowOff>152400</xdr:rowOff>
    </xdr:from>
    <xdr:to>
      <xdr:col>16</xdr:col>
      <xdr:colOff>220980</xdr:colOff>
      <xdr:row>57</xdr:row>
      <xdr:rowOff>38100</xdr:rowOff>
    </xdr:to>
    <xdr:sp macro="" textlink="">
      <xdr:nvSpPr>
        <xdr:cNvPr id="364805" name="Line 22">
          <a:extLst>
            <a:ext uri="{FF2B5EF4-FFF2-40B4-BE49-F238E27FC236}">
              <a16:creationId xmlns:a16="http://schemas.microsoft.com/office/drawing/2014/main" id="{00000000-0008-0000-0300-000005910500}"/>
            </a:ext>
          </a:extLst>
        </xdr:cNvPr>
        <xdr:cNvSpPr>
          <a:spLocks noChangeShapeType="1"/>
        </xdr:cNvSpPr>
      </xdr:nvSpPr>
      <xdr:spPr bwMode="auto">
        <a:xfrm flipV="1">
          <a:off x="450342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30480</xdr:colOff>
      <xdr:row>56</xdr:row>
      <xdr:rowOff>152400</xdr:rowOff>
    </xdr:from>
    <xdr:to>
      <xdr:col>17</xdr:col>
      <xdr:colOff>220980</xdr:colOff>
      <xdr:row>57</xdr:row>
      <xdr:rowOff>38100</xdr:rowOff>
    </xdr:to>
    <xdr:sp macro="" textlink="">
      <xdr:nvSpPr>
        <xdr:cNvPr id="364806" name="Line 23">
          <a:extLst>
            <a:ext uri="{FF2B5EF4-FFF2-40B4-BE49-F238E27FC236}">
              <a16:creationId xmlns:a16="http://schemas.microsoft.com/office/drawing/2014/main" id="{00000000-0008-0000-0300-000006910500}"/>
            </a:ext>
          </a:extLst>
        </xdr:cNvPr>
        <xdr:cNvSpPr>
          <a:spLocks noChangeShapeType="1"/>
        </xdr:cNvSpPr>
      </xdr:nvSpPr>
      <xdr:spPr bwMode="auto">
        <a:xfrm flipV="1">
          <a:off x="474726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30480</xdr:colOff>
      <xdr:row>56</xdr:row>
      <xdr:rowOff>152400</xdr:rowOff>
    </xdr:from>
    <xdr:to>
      <xdr:col>18</xdr:col>
      <xdr:colOff>220980</xdr:colOff>
      <xdr:row>57</xdr:row>
      <xdr:rowOff>38100</xdr:rowOff>
    </xdr:to>
    <xdr:sp macro="" textlink="">
      <xdr:nvSpPr>
        <xdr:cNvPr id="364807" name="Line 24">
          <a:extLst>
            <a:ext uri="{FF2B5EF4-FFF2-40B4-BE49-F238E27FC236}">
              <a16:creationId xmlns:a16="http://schemas.microsoft.com/office/drawing/2014/main" id="{00000000-0008-0000-0300-000007910500}"/>
            </a:ext>
          </a:extLst>
        </xdr:cNvPr>
        <xdr:cNvSpPr>
          <a:spLocks noChangeShapeType="1"/>
        </xdr:cNvSpPr>
      </xdr:nvSpPr>
      <xdr:spPr bwMode="auto">
        <a:xfrm flipV="1">
          <a:off x="499110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30480</xdr:colOff>
      <xdr:row>56</xdr:row>
      <xdr:rowOff>152400</xdr:rowOff>
    </xdr:from>
    <xdr:to>
      <xdr:col>19</xdr:col>
      <xdr:colOff>220980</xdr:colOff>
      <xdr:row>57</xdr:row>
      <xdr:rowOff>38100</xdr:rowOff>
    </xdr:to>
    <xdr:sp macro="" textlink="">
      <xdr:nvSpPr>
        <xdr:cNvPr id="364808" name="Line 25">
          <a:extLst>
            <a:ext uri="{FF2B5EF4-FFF2-40B4-BE49-F238E27FC236}">
              <a16:creationId xmlns:a16="http://schemas.microsoft.com/office/drawing/2014/main" id="{00000000-0008-0000-0300-000008910500}"/>
            </a:ext>
          </a:extLst>
        </xdr:cNvPr>
        <xdr:cNvSpPr>
          <a:spLocks noChangeShapeType="1"/>
        </xdr:cNvSpPr>
      </xdr:nvSpPr>
      <xdr:spPr bwMode="auto">
        <a:xfrm flipV="1">
          <a:off x="523494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30480</xdr:colOff>
      <xdr:row>56</xdr:row>
      <xdr:rowOff>152400</xdr:rowOff>
    </xdr:from>
    <xdr:to>
      <xdr:col>20</xdr:col>
      <xdr:colOff>220980</xdr:colOff>
      <xdr:row>57</xdr:row>
      <xdr:rowOff>38100</xdr:rowOff>
    </xdr:to>
    <xdr:sp macro="" textlink="">
      <xdr:nvSpPr>
        <xdr:cNvPr id="364809" name="Line 26">
          <a:extLst>
            <a:ext uri="{FF2B5EF4-FFF2-40B4-BE49-F238E27FC236}">
              <a16:creationId xmlns:a16="http://schemas.microsoft.com/office/drawing/2014/main" id="{00000000-0008-0000-0300-000009910500}"/>
            </a:ext>
          </a:extLst>
        </xdr:cNvPr>
        <xdr:cNvSpPr>
          <a:spLocks noChangeShapeType="1"/>
        </xdr:cNvSpPr>
      </xdr:nvSpPr>
      <xdr:spPr bwMode="auto">
        <a:xfrm flipV="1">
          <a:off x="547878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30480</xdr:colOff>
      <xdr:row>56</xdr:row>
      <xdr:rowOff>152400</xdr:rowOff>
    </xdr:from>
    <xdr:to>
      <xdr:col>21</xdr:col>
      <xdr:colOff>220980</xdr:colOff>
      <xdr:row>57</xdr:row>
      <xdr:rowOff>38100</xdr:rowOff>
    </xdr:to>
    <xdr:sp macro="" textlink="">
      <xdr:nvSpPr>
        <xdr:cNvPr id="364810" name="Line 27">
          <a:extLst>
            <a:ext uri="{FF2B5EF4-FFF2-40B4-BE49-F238E27FC236}">
              <a16:creationId xmlns:a16="http://schemas.microsoft.com/office/drawing/2014/main" id="{00000000-0008-0000-0300-00000A910500}"/>
            </a:ext>
          </a:extLst>
        </xdr:cNvPr>
        <xdr:cNvSpPr>
          <a:spLocks noChangeShapeType="1"/>
        </xdr:cNvSpPr>
      </xdr:nvSpPr>
      <xdr:spPr bwMode="auto">
        <a:xfrm flipV="1">
          <a:off x="572262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30480</xdr:colOff>
      <xdr:row>56</xdr:row>
      <xdr:rowOff>152400</xdr:rowOff>
    </xdr:from>
    <xdr:to>
      <xdr:col>22</xdr:col>
      <xdr:colOff>220980</xdr:colOff>
      <xdr:row>57</xdr:row>
      <xdr:rowOff>38100</xdr:rowOff>
    </xdr:to>
    <xdr:sp macro="" textlink="">
      <xdr:nvSpPr>
        <xdr:cNvPr id="364811" name="Line 28">
          <a:extLst>
            <a:ext uri="{FF2B5EF4-FFF2-40B4-BE49-F238E27FC236}">
              <a16:creationId xmlns:a16="http://schemas.microsoft.com/office/drawing/2014/main" id="{00000000-0008-0000-0300-00000B910500}"/>
            </a:ext>
          </a:extLst>
        </xdr:cNvPr>
        <xdr:cNvSpPr>
          <a:spLocks noChangeShapeType="1"/>
        </xdr:cNvSpPr>
      </xdr:nvSpPr>
      <xdr:spPr bwMode="auto">
        <a:xfrm flipV="1">
          <a:off x="596646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30480</xdr:colOff>
      <xdr:row>56</xdr:row>
      <xdr:rowOff>152400</xdr:rowOff>
    </xdr:from>
    <xdr:to>
      <xdr:col>23</xdr:col>
      <xdr:colOff>220980</xdr:colOff>
      <xdr:row>57</xdr:row>
      <xdr:rowOff>38100</xdr:rowOff>
    </xdr:to>
    <xdr:sp macro="" textlink="">
      <xdr:nvSpPr>
        <xdr:cNvPr id="364812" name="Line 29">
          <a:extLst>
            <a:ext uri="{FF2B5EF4-FFF2-40B4-BE49-F238E27FC236}">
              <a16:creationId xmlns:a16="http://schemas.microsoft.com/office/drawing/2014/main" id="{00000000-0008-0000-0300-00000C910500}"/>
            </a:ext>
          </a:extLst>
        </xdr:cNvPr>
        <xdr:cNvSpPr>
          <a:spLocks noChangeShapeType="1"/>
        </xdr:cNvSpPr>
      </xdr:nvSpPr>
      <xdr:spPr bwMode="auto">
        <a:xfrm flipV="1">
          <a:off x="621030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30480</xdr:colOff>
      <xdr:row>56</xdr:row>
      <xdr:rowOff>152400</xdr:rowOff>
    </xdr:from>
    <xdr:to>
      <xdr:col>24</xdr:col>
      <xdr:colOff>220980</xdr:colOff>
      <xdr:row>57</xdr:row>
      <xdr:rowOff>38100</xdr:rowOff>
    </xdr:to>
    <xdr:sp macro="" textlink="">
      <xdr:nvSpPr>
        <xdr:cNvPr id="364813" name="Line 30">
          <a:extLst>
            <a:ext uri="{FF2B5EF4-FFF2-40B4-BE49-F238E27FC236}">
              <a16:creationId xmlns:a16="http://schemas.microsoft.com/office/drawing/2014/main" id="{00000000-0008-0000-0300-00000D910500}"/>
            </a:ext>
          </a:extLst>
        </xdr:cNvPr>
        <xdr:cNvSpPr>
          <a:spLocks noChangeShapeType="1"/>
        </xdr:cNvSpPr>
      </xdr:nvSpPr>
      <xdr:spPr bwMode="auto">
        <a:xfrm flipV="1">
          <a:off x="645414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30480</xdr:colOff>
      <xdr:row>56</xdr:row>
      <xdr:rowOff>152400</xdr:rowOff>
    </xdr:from>
    <xdr:to>
      <xdr:col>25</xdr:col>
      <xdr:colOff>220980</xdr:colOff>
      <xdr:row>57</xdr:row>
      <xdr:rowOff>38100</xdr:rowOff>
    </xdr:to>
    <xdr:sp macro="" textlink="">
      <xdr:nvSpPr>
        <xdr:cNvPr id="364814" name="Line 31">
          <a:extLst>
            <a:ext uri="{FF2B5EF4-FFF2-40B4-BE49-F238E27FC236}">
              <a16:creationId xmlns:a16="http://schemas.microsoft.com/office/drawing/2014/main" id="{00000000-0008-0000-0300-00000E910500}"/>
            </a:ext>
          </a:extLst>
        </xdr:cNvPr>
        <xdr:cNvSpPr>
          <a:spLocks noChangeShapeType="1"/>
        </xdr:cNvSpPr>
      </xdr:nvSpPr>
      <xdr:spPr bwMode="auto">
        <a:xfrm flipV="1">
          <a:off x="669798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30480</xdr:colOff>
      <xdr:row>56</xdr:row>
      <xdr:rowOff>152400</xdr:rowOff>
    </xdr:from>
    <xdr:to>
      <xdr:col>26</xdr:col>
      <xdr:colOff>220980</xdr:colOff>
      <xdr:row>57</xdr:row>
      <xdr:rowOff>38100</xdr:rowOff>
    </xdr:to>
    <xdr:sp macro="" textlink="">
      <xdr:nvSpPr>
        <xdr:cNvPr id="364815" name="Line 32">
          <a:extLst>
            <a:ext uri="{FF2B5EF4-FFF2-40B4-BE49-F238E27FC236}">
              <a16:creationId xmlns:a16="http://schemas.microsoft.com/office/drawing/2014/main" id="{00000000-0008-0000-0300-00000F910500}"/>
            </a:ext>
          </a:extLst>
        </xdr:cNvPr>
        <xdr:cNvSpPr>
          <a:spLocks noChangeShapeType="1"/>
        </xdr:cNvSpPr>
      </xdr:nvSpPr>
      <xdr:spPr bwMode="auto">
        <a:xfrm flipV="1">
          <a:off x="694182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30480</xdr:colOff>
      <xdr:row>56</xdr:row>
      <xdr:rowOff>152400</xdr:rowOff>
    </xdr:from>
    <xdr:to>
      <xdr:col>27</xdr:col>
      <xdr:colOff>220980</xdr:colOff>
      <xdr:row>57</xdr:row>
      <xdr:rowOff>38100</xdr:rowOff>
    </xdr:to>
    <xdr:sp macro="" textlink="">
      <xdr:nvSpPr>
        <xdr:cNvPr id="364816" name="Line 33">
          <a:extLst>
            <a:ext uri="{FF2B5EF4-FFF2-40B4-BE49-F238E27FC236}">
              <a16:creationId xmlns:a16="http://schemas.microsoft.com/office/drawing/2014/main" id="{00000000-0008-0000-0300-000010910500}"/>
            </a:ext>
          </a:extLst>
        </xdr:cNvPr>
        <xdr:cNvSpPr>
          <a:spLocks noChangeShapeType="1"/>
        </xdr:cNvSpPr>
      </xdr:nvSpPr>
      <xdr:spPr bwMode="auto">
        <a:xfrm flipV="1">
          <a:off x="718566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30480</xdr:colOff>
      <xdr:row>56</xdr:row>
      <xdr:rowOff>152400</xdr:rowOff>
    </xdr:from>
    <xdr:to>
      <xdr:col>28</xdr:col>
      <xdr:colOff>220980</xdr:colOff>
      <xdr:row>57</xdr:row>
      <xdr:rowOff>38100</xdr:rowOff>
    </xdr:to>
    <xdr:sp macro="" textlink="">
      <xdr:nvSpPr>
        <xdr:cNvPr id="364817" name="Line 34">
          <a:extLst>
            <a:ext uri="{FF2B5EF4-FFF2-40B4-BE49-F238E27FC236}">
              <a16:creationId xmlns:a16="http://schemas.microsoft.com/office/drawing/2014/main" id="{00000000-0008-0000-0300-000011910500}"/>
            </a:ext>
          </a:extLst>
        </xdr:cNvPr>
        <xdr:cNvSpPr>
          <a:spLocks noChangeShapeType="1"/>
        </xdr:cNvSpPr>
      </xdr:nvSpPr>
      <xdr:spPr bwMode="auto">
        <a:xfrm flipV="1">
          <a:off x="742950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30480</xdr:colOff>
      <xdr:row>56</xdr:row>
      <xdr:rowOff>152400</xdr:rowOff>
    </xdr:from>
    <xdr:to>
      <xdr:col>29</xdr:col>
      <xdr:colOff>220980</xdr:colOff>
      <xdr:row>57</xdr:row>
      <xdr:rowOff>38100</xdr:rowOff>
    </xdr:to>
    <xdr:sp macro="" textlink="">
      <xdr:nvSpPr>
        <xdr:cNvPr id="364818" name="Line 35">
          <a:extLst>
            <a:ext uri="{FF2B5EF4-FFF2-40B4-BE49-F238E27FC236}">
              <a16:creationId xmlns:a16="http://schemas.microsoft.com/office/drawing/2014/main" id="{00000000-0008-0000-0300-000012910500}"/>
            </a:ext>
          </a:extLst>
        </xdr:cNvPr>
        <xdr:cNvSpPr>
          <a:spLocks noChangeShapeType="1"/>
        </xdr:cNvSpPr>
      </xdr:nvSpPr>
      <xdr:spPr bwMode="auto">
        <a:xfrm flipV="1">
          <a:off x="767334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30480</xdr:colOff>
      <xdr:row>56</xdr:row>
      <xdr:rowOff>152400</xdr:rowOff>
    </xdr:from>
    <xdr:to>
      <xdr:col>30</xdr:col>
      <xdr:colOff>220980</xdr:colOff>
      <xdr:row>57</xdr:row>
      <xdr:rowOff>38100</xdr:rowOff>
    </xdr:to>
    <xdr:sp macro="" textlink="">
      <xdr:nvSpPr>
        <xdr:cNvPr id="364819" name="Line 36">
          <a:extLst>
            <a:ext uri="{FF2B5EF4-FFF2-40B4-BE49-F238E27FC236}">
              <a16:creationId xmlns:a16="http://schemas.microsoft.com/office/drawing/2014/main" id="{00000000-0008-0000-0300-000013910500}"/>
            </a:ext>
          </a:extLst>
        </xdr:cNvPr>
        <xdr:cNvSpPr>
          <a:spLocks noChangeShapeType="1"/>
        </xdr:cNvSpPr>
      </xdr:nvSpPr>
      <xdr:spPr bwMode="auto">
        <a:xfrm flipV="1">
          <a:off x="791718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30480</xdr:colOff>
      <xdr:row>56</xdr:row>
      <xdr:rowOff>152400</xdr:rowOff>
    </xdr:from>
    <xdr:to>
      <xdr:col>31</xdr:col>
      <xdr:colOff>220980</xdr:colOff>
      <xdr:row>57</xdr:row>
      <xdr:rowOff>38100</xdr:rowOff>
    </xdr:to>
    <xdr:sp macro="" textlink="">
      <xdr:nvSpPr>
        <xdr:cNvPr id="364820" name="Line 37">
          <a:extLst>
            <a:ext uri="{FF2B5EF4-FFF2-40B4-BE49-F238E27FC236}">
              <a16:creationId xmlns:a16="http://schemas.microsoft.com/office/drawing/2014/main" id="{00000000-0008-0000-0300-000014910500}"/>
            </a:ext>
          </a:extLst>
        </xdr:cNvPr>
        <xdr:cNvSpPr>
          <a:spLocks noChangeShapeType="1"/>
        </xdr:cNvSpPr>
      </xdr:nvSpPr>
      <xdr:spPr bwMode="auto">
        <a:xfrm flipV="1">
          <a:off x="816102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30480</xdr:colOff>
      <xdr:row>56</xdr:row>
      <xdr:rowOff>152400</xdr:rowOff>
    </xdr:from>
    <xdr:to>
      <xdr:col>32</xdr:col>
      <xdr:colOff>220980</xdr:colOff>
      <xdr:row>57</xdr:row>
      <xdr:rowOff>38100</xdr:rowOff>
    </xdr:to>
    <xdr:sp macro="" textlink="">
      <xdr:nvSpPr>
        <xdr:cNvPr id="364821" name="Line 38">
          <a:extLst>
            <a:ext uri="{FF2B5EF4-FFF2-40B4-BE49-F238E27FC236}">
              <a16:creationId xmlns:a16="http://schemas.microsoft.com/office/drawing/2014/main" id="{00000000-0008-0000-0300-000015910500}"/>
            </a:ext>
          </a:extLst>
        </xdr:cNvPr>
        <xdr:cNvSpPr>
          <a:spLocks noChangeShapeType="1"/>
        </xdr:cNvSpPr>
      </xdr:nvSpPr>
      <xdr:spPr bwMode="auto">
        <a:xfrm flipV="1">
          <a:off x="840486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30480</xdr:colOff>
      <xdr:row>56</xdr:row>
      <xdr:rowOff>152400</xdr:rowOff>
    </xdr:from>
    <xdr:to>
      <xdr:col>33</xdr:col>
      <xdr:colOff>220980</xdr:colOff>
      <xdr:row>57</xdr:row>
      <xdr:rowOff>38100</xdr:rowOff>
    </xdr:to>
    <xdr:sp macro="" textlink="">
      <xdr:nvSpPr>
        <xdr:cNvPr id="364822" name="Line 39">
          <a:extLst>
            <a:ext uri="{FF2B5EF4-FFF2-40B4-BE49-F238E27FC236}">
              <a16:creationId xmlns:a16="http://schemas.microsoft.com/office/drawing/2014/main" id="{00000000-0008-0000-0300-000016910500}"/>
            </a:ext>
          </a:extLst>
        </xdr:cNvPr>
        <xdr:cNvSpPr>
          <a:spLocks noChangeShapeType="1"/>
        </xdr:cNvSpPr>
      </xdr:nvSpPr>
      <xdr:spPr bwMode="auto">
        <a:xfrm flipV="1">
          <a:off x="864870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30480</xdr:colOff>
      <xdr:row>56</xdr:row>
      <xdr:rowOff>152400</xdr:rowOff>
    </xdr:from>
    <xdr:to>
      <xdr:col>34</xdr:col>
      <xdr:colOff>220980</xdr:colOff>
      <xdr:row>57</xdr:row>
      <xdr:rowOff>38100</xdr:rowOff>
    </xdr:to>
    <xdr:sp macro="" textlink="">
      <xdr:nvSpPr>
        <xdr:cNvPr id="364823" name="Line 40">
          <a:extLst>
            <a:ext uri="{FF2B5EF4-FFF2-40B4-BE49-F238E27FC236}">
              <a16:creationId xmlns:a16="http://schemas.microsoft.com/office/drawing/2014/main" id="{00000000-0008-0000-0300-000017910500}"/>
            </a:ext>
          </a:extLst>
        </xdr:cNvPr>
        <xdr:cNvSpPr>
          <a:spLocks noChangeShapeType="1"/>
        </xdr:cNvSpPr>
      </xdr:nvSpPr>
      <xdr:spPr bwMode="auto">
        <a:xfrm flipV="1">
          <a:off x="889254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30480</xdr:colOff>
      <xdr:row>56</xdr:row>
      <xdr:rowOff>152400</xdr:rowOff>
    </xdr:from>
    <xdr:to>
      <xdr:col>35</xdr:col>
      <xdr:colOff>220980</xdr:colOff>
      <xdr:row>57</xdr:row>
      <xdr:rowOff>38100</xdr:rowOff>
    </xdr:to>
    <xdr:sp macro="" textlink="">
      <xdr:nvSpPr>
        <xdr:cNvPr id="364824" name="Line 41">
          <a:extLst>
            <a:ext uri="{FF2B5EF4-FFF2-40B4-BE49-F238E27FC236}">
              <a16:creationId xmlns:a16="http://schemas.microsoft.com/office/drawing/2014/main" id="{00000000-0008-0000-0300-000018910500}"/>
            </a:ext>
          </a:extLst>
        </xdr:cNvPr>
        <xdr:cNvSpPr>
          <a:spLocks noChangeShapeType="1"/>
        </xdr:cNvSpPr>
      </xdr:nvSpPr>
      <xdr:spPr bwMode="auto">
        <a:xfrm flipV="1">
          <a:off x="913638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30480</xdr:colOff>
      <xdr:row>56</xdr:row>
      <xdr:rowOff>152400</xdr:rowOff>
    </xdr:from>
    <xdr:to>
      <xdr:col>36</xdr:col>
      <xdr:colOff>220980</xdr:colOff>
      <xdr:row>57</xdr:row>
      <xdr:rowOff>38100</xdr:rowOff>
    </xdr:to>
    <xdr:sp macro="" textlink="">
      <xdr:nvSpPr>
        <xdr:cNvPr id="364825" name="Line 42">
          <a:extLst>
            <a:ext uri="{FF2B5EF4-FFF2-40B4-BE49-F238E27FC236}">
              <a16:creationId xmlns:a16="http://schemas.microsoft.com/office/drawing/2014/main" id="{00000000-0008-0000-0300-000019910500}"/>
            </a:ext>
          </a:extLst>
        </xdr:cNvPr>
        <xdr:cNvSpPr>
          <a:spLocks noChangeShapeType="1"/>
        </xdr:cNvSpPr>
      </xdr:nvSpPr>
      <xdr:spPr bwMode="auto">
        <a:xfrm flipV="1">
          <a:off x="9380220" y="1151382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38100</xdr:colOff>
      <xdr:row>58</xdr:row>
      <xdr:rowOff>160020</xdr:rowOff>
    </xdr:from>
    <xdr:to>
      <xdr:col>14</xdr:col>
      <xdr:colOff>236220</xdr:colOff>
      <xdr:row>59</xdr:row>
      <xdr:rowOff>45720</xdr:rowOff>
    </xdr:to>
    <xdr:sp macro="" textlink="">
      <xdr:nvSpPr>
        <xdr:cNvPr id="364826" name="Line 43">
          <a:extLst>
            <a:ext uri="{FF2B5EF4-FFF2-40B4-BE49-F238E27FC236}">
              <a16:creationId xmlns:a16="http://schemas.microsoft.com/office/drawing/2014/main" id="{00000000-0008-0000-0300-00001A910500}"/>
            </a:ext>
          </a:extLst>
        </xdr:cNvPr>
        <xdr:cNvSpPr>
          <a:spLocks noChangeShapeType="1"/>
        </xdr:cNvSpPr>
      </xdr:nvSpPr>
      <xdr:spPr bwMode="auto">
        <a:xfrm flipV="1">
          <a:off x="402336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38100</xdr:colOff>
      <xdr:row>58</xdr:row>
      <xdr:rowOff>160020</xdr:rowOff>
    </xdr:from>
    <xdr:to>
      <xdr:col>15</xdr:col>
      <xdr:colOff>236220</xdr:colOff>
      <xdr:row>59</xdr:row>
      <xdr:rowOff>45720</xdr:rowOff>
    </xdr:to>
    <xdr:sp macro="" textlink="">
      <xdr:nvSpPr>
        <xdr:cNvPr id="364827" name="Line 44">
          <a:extLst>
            <a:ext uri="{FF2B5EF4-FFF2-40B4-BE49-F238E27FC236}">
              <a16:creationId xmlns:a16="http://schemas.microsoft.com/office/drawing/2014/main" id="{00000000-0008-0000-0300-00001B910500}"/>
            </a:ext>
          </a:extLst>
        </xdr:cNvPr>
        <xdr:cNvSpPr>
          <a:spLocks noChangeShapeType="1"/>
        </xdr:cNvSpPr>
      </xdr:nvSpPr>
      <xdr:spPr bwMode="auto">
        <a:xfrm flipV="1">
          <a:off x="426720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38100</xdr:colOff>
      <xdr:row>58</xdr:row>
      <xdr:rowOff>160020</xdr:rowOff>
    </xdr:from>
    <xdr:to>
      <xdr:col>16</xdr:col>
      <xdr:colOff>236220</xdr:colOff>
      <xdr:row>59</xdr:row>
      <xdr:rowOff>45720</xdr:rowOff>
    </xdr:to>
    <xdr:sp macro="" textlink="">
      <xdr:nvSpPr>
        <xdr:cNvPr id="364828" name="Line 45">
          <a:extLst>
            <a:ext uri="{FF2B5EF4-FFF2-40B4-BE49-F238E27FC236}">
              <a16:creationId xmlns:a16="http://schemas.microsoft.com/office/drawing/2014/main" id="{00000000-0008-0000-0300-00001C910500}"/>
            </a:ext>
          </a:extLst>
        </xdr:cNvPr>
        <xdr:cNvSpPr>
          <a:spLocks noChangeShapeType="1"/>
        </xdr:cNvSpPr>
      </xdr:nvSpPr>
      <xdr:spPr bwMode="auto">
        <a:xfrm flipV="1">
          <a:off x="451104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38100</xdr:colOff>
      <xdr:row>58</xdr:row>
      <xdr:rowOff>160020</xdr:rowOff>
    </xdr:from>
    <xdr:to>
      <xdr:col>17</xdr:col>
      <xdr:colOff>236220</xdr:colOff>
      <xdr:row>59</xdr:row>
      <xdr:rowOff>45720</xdr:rowOff>
    </xdr:to>
    <xdr:sp macro="" textlink="">
      <xdr:nvSpPr>
        <xdr:cNvPr id="364829" name="Line 46">
          <a:extLst>
            <a:ext uri="{FF2B5EF4-FFF2-40B4-BE49-F238E27FC236}">
              <a16:creationId xmlns:a16="http://schemas.microsoft.com/office/drawing/2014/main" id="{00000000-0008-0000-0300-00001D910500}"/>
            </a:ext>
          </a:extLst>
        </xdr:cNvPr>
        <xdr:cNvSpPr>
          <a:spLocks noChangeShapeType="1"/>
        </xdr:cNvSpPr>
      </xdr:nvSpPr>
      <xdr:spPr bwMode="auto">
        <a:xfrm flipV="1">
          <a:off x="475488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38100</xdr:colOff>
      <xdr:row>58</xdr:row>
      <xdr:rowOff>160020</xdr:rowOff>
    </xdr:from>
    <xdr:to>
      <xdr:col>18</xdr:col>
      <xdr:colOff>236220</xdr:colOff>
      <xdr:row>59</xdr:row>
      <xdr:rowOff>45720</xdr:rowOff>
    </xdr:to>
    <xdr:sp macro="" textlink="">
      <xdr:nvSpPr>
        <xdr:cNvPr id="364830" name="Line 47">
          <a:extLst>
            <a:ext uri="{FF2B5EF4-FFF2-40B4-BE49-F238E27FC236}">
              <a16:creationId xmlns:a16="http://schemas.microsoft.com/office/drawing/2014/main" id="{00000000-0008-0000-0300-00001E910500}"/>
            </a:ext>
          </a:extLst>
        </xdr:cNvPr>
        <xdr:cNvSpPr>
          <a:spLocks noChangeShapeType="1"/>
        </xdr:cNvSpPr>
      </xdr:nvSpPr>
      <xdr:spPr bwMode="auto">
        <a:xfrm flipV="1">
          <a:off x="499872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38100</xdr:colOff>
      <xdr:row>58</xdr:row>
      <xdr:rowOff>160020</xdr:rowOff>
    </xdr:from>
    <xdr:to>
      <xdr:col>19</xdr:col>
      <xdr:colOff>236220</xdr:colOff>
      <xdr:row>59</xdr:row>
      <xdr:rowOff>45720</xdr:rowOff>
    </xdr:to>
    <xdr:sp macro="" textlink="">
      <xdr:nvSpPr>
        <xdr:cNvPr id="364831" name="Line 48">
          <a:extLst>
            <a:ext uri="{FF2B5EF4-FFF2-40B4-BE49-F238E27FC236}">
              <a16:creationId xmlns:a16="http://schemas.microsoft.com/office/drawing/2014/main" id="{00000000-0008-0000-0300-00001F910500}"/>
            </a:ext>
          </a:extLst>
        </xdr:cNvPr>
        <xdr:cNvSpPr>
          <a:spLocks noChangeShapeType="1"/>
        </xdr:cNvSpPr>
      </xdr:nvSpPr>
      <xdr:spPr bwMode="auto">
        <a:xfrm flipV="1">
          <a:off x="524256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38100</xdr:colOff>
      <xdr:row>58</xdr:row>
      <xdr:rowOff>160020</xdr:rowOff>
    </xdr:from>
    <xdr:to>
      <xdr:col>20</xdr:col>
      <xdr:colOff>236220</xdr:colOff>
      <xdr:row>59</xdr:row>
      <xdr:rowOff>45720</xdr:rowOff>
    </xdr:to>
    <xdr:sp macro="" textlink="">
      <xdr:nvSpPr>
        <xdr:cNvPr id="364832" name="Line 49">
          <a:extLst>
            <a:ext uri="{FF2B5EF4-FFF2-40B4-BE49-F238E27FC236}">
              <a16:creationId xmlns:a16="http://schemas.microsoft.com/office/drawing/2014/main" id="{00000000-0008-0000-0300-000020910500}"/>
            </a:ext>
          </a:extLst>
        </xdr:cNvPr>
        <xdr:cNvSpPr>
          <a:spLocks noChangeShapeType="1"/>
        </xdr:cNvSpPr>
      </xdr:nvSpPr>
      <xdr:spPr bwMode="auto">
        <a:xfrm flipV="1">
          <a:off x="548640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38100</xdr:colOff>
      <xdr:row>58</xdr:row>
      <xdr:rowOff>160020</xdr:rowOff>
    </xdr:from>
    <xdr:to>
      <xdr:col>21</xdr:col>
      <xdr:colOff>236220</xdr:colOff>
      <xdr:row>59</xdr:row>
      <xdr:rowOff>45720</xdr:rowOff>
    </xdr:to>
    <xdr:sp macro="" textlink="">
      <xdr:nvSpPr>
        <xdr:cNvPr id="364833" name="Line 50">
          <a:extLst>
            <a:ext uri="{FF2B5EF4-FFF2-40B4-BE49-F238E27FC236}">
              <a16:creationId xmlns:a16="http://schemas.microsoft.com/office/drawing/2014/main" id="{00000000-0008-0000-0300-000021910500}"/>
            </a:ext>
          </a:extLst>
        </xdr:cNvPr>
        <xdr:cNvSpPr>
          <a:spLocks noChangeShapeType="1"/>
        </xdr:cNvSpPr>
      </xdr:nvSpPr>
      <xdr:spPr bwMode="auto">
        <a:xfrm flipV="1">
          <a:off x="573024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38100</xdr:colOff>
      <xdr:row>58</xdr:row>
      <xdr:rowOff>160020</xdr:rowOff>
    </xdr:from>
    <xdr:to>
      <xdr:col>22</xdr:col>
      <xdr:colOff>236220</xdr:colOff>
      <xdr:row>59</xdr:row>
      <xdr:rowOff>45720</xdr:rowOff>
    </xdr:to>
    <xdr:sp macro="" textlink="">
      <xdr:nvSpPr>
        <xdr:cNvPr id="364834" name="Line 51">
          <a:extLst>
            <a:ext uri="{FF2B5EF4-FFF2-40B4-BE49-F238E27FC236}">
              <a16:creationId xmlns:a16="http://schemas.microsoft.com/office/drawing/2014/main" id="{00000000-0008-0000-0300-000022910500}"/>
            </a:ext>
          </a:extLst>
        </xdr:cNvPr>
        <xdr:cNvSpPr>
          <a:spLocks noChangeShapeType="1"/>
        </xdr:cNvSpPr>
      </xdr:nvSpPr>
      <xdr:spPr bwMode="auto">
        <a:xfrm flipV="1">
          <a:off x="597408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38100</xdr:colOff>
      <xdr:row>58</xdr:row>
      <xdr:rowOff>160020</xdr:rowOff>
    </xdr:from>
    <xdr:to>
      <xdr:col>23</xdr:col>
      <xdr:colOff>236220</xdr:colOff>
      <xdr:row>59</xdr:row>
      <xdr:rowOff>45720</xdr:rowOff>
    </xdr:to>
    <xdr:sp macro="" textlink="">
      <xdr:nvSpPr>
        <xdr:cNvPr id="364835" name="Line 52">
          <a:extLst>
            <a:ext uri="{FF2B5EF4-FFF2-40B4-BE49-F238E27FC236}">
              <a16:creationId xmlns:a16="http://schemas.microsoft.com/office/drawing/2014/main" id="{00000000-0008-0000-0300-000023910500}"/>
            </a:ext>
          </a:extLst>
        </xdr:cNvPr>
        <xdr:cNvSpPr>
          <a:spLocks noChangeShapeType="1"/>
        </xdr:cNvSpPr>
      </xdr:nvSpPr>
      <xdr:spPr bwMode="auto">
        <a:xfrm flipV="1">
          <a:off x="621792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38100</xdr:colOff>
      <xdr:row>58</xdr:row>
      <xdr:rowOff>160020</xdr:rowOff>
    </xdr:from>
    <xdr:to>
      <xdr:col>24</xdr:col>
      <xdr:colOff>236220</xdr:colOff>
      <xdr:row>59</xdr:row>
      <xdr:rowOff>45720</xdr:rowOff>
    </xdr:to>
    <xdr:sp macro="" textlink="">
      <xdr:nvSpPr>
        <xdr:cNvPr id="364836" name="Line 53">
          <a:extLst>
            <a:ext uri="{FF2B5EF4-FFF2-40B4-BE49-F238E27FC236}">
              <a16:creationId xmlns:a16="http://schemas.microsoft.com/office/drawing/2014/main" id="{00000000-0008-0000-0300-000024910500}"/>
            </a:ext>
          </a:extLst>
        </xdr:cNvPr>
        <xdr:cNvSpPr>
          <a:spLocks noChangeShapeType="1"/>
        </xdr:cNvSpPr>
      </xdr:nvSpPr>
      <xdr:spPr bwMode="auto">
        <a:xfrm flipV="1">
          <a:off x="646176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38100</xdr:colOff>
      <xdr:row>58</xdr:row>
      <xdr:rowOff>160020</xdr:rowOff>
    </xdr:from>
    <xdr:to>
      <xdr:col>25</xdr:col>
      <xdr:colOff>236220</xdr:colOff>
      <xdr:row>59</xdr:row>
      <xdr:rowOff>45720</xdr:rowOff>
    </xdr:to>
    <xdr:sp macro="" textlink="">
      <xdr:nvSpPr>
        <xdr:cNvPr id="364837" name="Line 54">
          <a:extLst>
            <a:ext uri="{FF2B5EF4-FFF2-40B4-BE49-F238E27FC236}">
              <a16:creationId xmlns:a16="http://schemas.microsoft.com/office/drawing/2014/main" id="{00000000-0008-0000-0300-000025910500}"/>
            </a:ext>
          </a:extLst>
        </xdr:cNvPr>
        <xdr:cNvSpPr>
          <a:spLocks noChangeShapeType="1"/>
        </xdr:cNvSpPr>
      </xdr:nvSpPr>
      <xdr:spPr bwMode="auto">
        <a:xfrm flipV="1">
          <a:off x="670560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38100</xdr:colOff>
      <xdr:row>58</xdr:row>
      <xdr:rowOff>160020</xdr:rowOff>
    </xdr:from>
    <xdr:to>
      <xdr:col>26</xdr:col>
      <xdr:colOff>236220</xdr:colOff>
      <xdr:row>59</xdr:row>
      <xdr:rowOff>45720</xdr:rowOff>
    </xdr:to>
    <xdr:sp macro="" textlink="">
      <xdr:nvSpPr>
        <xdr:cNvPr id="364838" name="Line 55">
          <a:extLst>
            <a:ext uri="{FF2B5EF4-FFF2-40B4-BE49-F238E27FC236}">
              <a16:creationId xmlns:a16="http://schemas.microsoft.com/office/drawing/2014/main" id="{00000000-0008-0000-0300-000026910500}"/>
            </a:ext>
          </a:extLst>
        </xdr:cNvPr>
        <xdr:cNvSpPr>
          <a:spLocks noChangeShapeType="1"/>
        </xdr:cNvSpPr>
      </xdr:nvSpPr>
      <xdr:spPr bwMode="auto">
        <a:xfrm flipV="1">
          <a:off x="694944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38100</xdr:colOff>
      <xdr:row>58</xdr:row>
      <xdr:rowOff>160020</xdr:rowOff>
    </xdr:from>
    <xdr:to>
      <xdr:col>27</xdr:col>
      <xdr:colOff>236220</xdr:colOff>
      <xdr:row>59</xdr:row>
      <xdr:rowOff>45720</xdr:rowOff>
    </xdr:to>
    <xdr:sp macro="" textlink="">
      <xdr:nvSpPr>
        <xdr:cNvPr id="364839" name="Line 56">
          <a:extLst>
            <a:ext uri="{FF2B5EF4-FFF2-40B4-BE49-F238E27FC236}">
              <a16:creationId xmlns:a16="http://schemas.microsoft.com/office/drawing/2014/main" id="{00000000-0008-0000-0300-000027910500}"/>
            </a:ext>
          </a:extLst>
        </xdr:cNvPr>
        <xdr:cNvSpPr>
          <a:spLocks noChangeShapeType="1"/>
        </xdr:cNvSpPr>
      </xdr:nvSpPr>
      <xdr:spPr bwMode="auto">
        <a:xfrm flipV="1">
          <a:off x="719328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38100</xdr:colOff>
      <xdr:row>58</xdr:row>
      <xdr:rowOff>160020</xdr:rowOff>
    </xdr:from>
    <xdr:to>
      <xdr:col>28</xdr:col>
      <xdr:colOff>236220</xdr:colOff>
      <xdr:row>59</xdr:row>
      <xdr:rowOff>45720</xdr:rowOff>
    </xdr:to>
    <xdr:sp macro="" textlink="">
      <xdr:nvSpPr>
        <xdr:cNvPr id="364840" name="Line 57">
          <a:extLst>
            <a:ext uri="{FF2B5EF4-FFF2-40B4-BE49-F238E27FC236}">
              <a16:creationId xmlns:a16="http://schemas.microsoft.com/office/drawing/2014/main" id="{00000000-0008-0000-0300-000028910500}"/>
            </a:ext>
          </a:extLst>
        </xdr:cNvPr>
        <xdr:cNvSpPr>
          <a:spLocks noChangeShapeType="1"/>
        </xdr:cNvSpPr>
      </xdr:nvSpPr>
      <xdr:spPr bwMode="auto">
        <a:xfrm flipV="1">
          <a:off x="743712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38100</xdr:colOff>
      <xdr:row>58</xdr:row>
      <xdr:rowOff>160020</xdr:rowOff>
    </xdr:from>
    <xdr:to>
      <xdr:col>29</xdr:col>
      <xdr:colOff>236220</xdr:colOff>
      <xdr:row>59</xdr:row>
      <xdr:rowOff>45720</xdr:rowOff>
    </xdr:to>
    <xdr:sp macro="" textlink="">
      <xdr:nvSpPr>
        <xdr:cNvPr id="364841" name="Line 58">
          <a:extLst>
            <a:ext uri="{FF2B5EF4-FFF2-40B4-BE49-F238E27FC236}">
              <a16:creationId xmlns:a16="http://schemas.microsoft.com/office/drawing/2014/main" id="{00000000-0008-0000-0300-000029910500}"/>
            </a:ext>
          </a:extLst>
        </xdr:cNvPr>
        <xdr:cNvSpPr>
          <a:spLocks noChangeShapeType="1"/>
        </xdr:cNvSpPr>
      </xdr:nvSpPr>
      <xdr:spPr bwMode="auto">
        <a:xfrm flipV="1">
          <a:off x="768096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38100</xdr:colOff>
      <xdr:row>58</xdr:row>
      <xdr:rowOff>160020</xdr:rowOff>
    </xdr:from>
    <xdr:to>
      <xdr:col>30</xdr:col>
      <xdr:colOff>236220</xdr:colOff>
      <xdr:row>59</xdr:row>
      <xdr:rowOff>45720</xdr:rowOff>
    </xdr:to>
    <xdr:sp macro="" textlink="">
      <xdr:nvSpPr>
        <xdr:cNvPr id="364842" name="Line 59">
          <a:extLst>
            <a:ext uri="{FF2B5EF4-FFF2-40B4-BE49-F238E27FC236}">
              <a16:creationId xmlns:a16="http://schemas.microsoft.com/office/drawing/2014/main" id="{00000000-0008-0000-0300-00002A910500}"/>
            </a:ext>
          </a:extLst>
        </xdr:cNvPr>
        <xdr:cNvSpPr>
          <a:spLocks noChangeShapeType="1"/>
        </xdr:cNvSpPr>
      </xdr:nvSpPr>
      <xdr:spPr bwMode="auto">
        <a:xfrm flipV="1">
          <a:off x="792480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38100</xdr:colOff>
      <xdr:row>58</xdr:row>
      <xdr:rowOff>160020</xdr:rowOff>
    </xdr:from>
    <xdr:to>
      <xdr:col>31</xdr:col>
      <xdr:colOff>236220</xdr:colOff>
      <xdr:row>59</xdr:row>
      <xdr:rowOff>45720</xdr:rowOff>
    </xdr:to>
    <xdr:sp macro="" textlink="">
      <xdr:nvSpPr>
        <xdr:cNvPr id="364843" name="Line 60">
          <a:extLst>
            <a:ext uri="{FF2B5EF4-FFF2-40B4-BE49-F238E27FC236}">
              <a16:creationId xmlns:a16="http://schemas.microsoft.com/office/drawing/2014/main" id="{00000000-0008-0000-0300-00002B910500}"/>
            </a:ext>
          </a:extLst>
        </xdr:cNvPr>
        <xdr:cNvSpPr>
          <a:spLocks noChangeShapeType="1"/>
        </xdr:cNvSpPr>
      </xdr:nvSpPr>
      <xdr:spPr bwMode="auto">
        <a:xfrm flipV="1">
          <a:off x="816864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38100</xdr:colOff>
      <xdr:row>58</xdr:row>
      <xdr:rowOff>160020</xdr:rowOff>
    </xdr:from>
    <xdr:to>
      <xdr:col>32</xdr:col>
      <xdr:colOff>236220</xdr:colOff>
      <xdr:row>59</xdr:row>
      <xdr:rowOff>45720</xdr:rowOff>
    </xdr:to>
    <xdr:sp macro="" textlink="">
      <xdr:nvSpPr>
        <xdr:cNvPr id="364844" name="Line 61">
          <a:extLst>
            <a:ext uri="{FF2B5EF4-FFF2-40B4-BE49-F238E27FC236}">
              <a16:creationId xmlns:a16="http://schemas.microsoft.com/office/drawing/2014/main" id="{00000000-0008-0000-0300-00002C910500}"/>
            </a:ext>
          </a:extLst>
        </xdr:cNvPr>
        <xdr:cNvSpPr>
          <a:spLocks noChangeShapeType="1"/>
        </xdr:cNvSpPr>
      </xdr:nvSpPr>
      <xdr:spPr bwMode="auto">
        <a:xfrm flipV="1">
          <a:off x="841248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38100</xdr:colOff>
      <xdr:row>58</xdr:row>
      <xdr:rowOff>160020</xdr:rowOff>
    </xdr:from>
    <xdr:to>
      <xdr:col>33</xdr:col>
      <xdr:colOff>236220</xdr:colOff>
      <xdr:row>59</xdr:row>
      <xdr:rowOff>45720</xdr:rowOff>
    </xdr:to>
    <xdr:sp macro="" textlink="">
      <xdr:nvSpPr>
        <xdr:cNvPr id="364845" name="Line 62">
          <a:extLst>
            <a:ext uri="{FF2B5EF4-FFF2-40B4-BE49-F238E27FC236}">
              <a16:creationId xmlns:a16="http://schemas.microsoft.com/office/drawing/2014/main" id="{00000000-0008-0000-0300-00002D910500}"/>
            </a:ext>
          </a:extLst>
        </xdr:cNvPr>
        <xdr:cNvSpPr>
          <a:spLocks noChangeShapeType="1"/>
        </xdr:cNvSpPr>
      </xdr:nvSpPr>
      <xdr:spPr bwMode="auto">
        <a:xfrm flipV="1">
          <a:off x="865632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38100</xdr:colOff>
      <xdr:row>58</xdr:row>
      <xdr:rowOff>160020</xdr:rowOff>
    </xdr:from>
    <xdr:to>
      <xdr:col>34</xdr:col>
      <xdr:colOff>236220</xdr:colOff>
      <xdr:row>59</xdr:row>
      <xdr:rowOff>45720</xdr:rowOff>
    </xdr:to>
    <xdr:sp macro="" textlink="">
      <xdr:nvSpPr>
        <xdr:cNvPr id="364846" name="Line 63">
          <a:extLst>
            <a:ext uri="{FF2B5EF4-FFF2-40B4-BE49-F238E27FC236}">
              <a16:creationId xmlns:a16="http://schemas.microsoft.com/office/drawing/2014/main" id="{00000000-0008-0000-0300-00002E910500}"/>
            </a:ext>
          </a:extLst>
        </xdr:cNvPr>
        <xdr:cNvSpPr>
          <a:spLocks noChangeShapeType="1"/>
        </xdr:cNvSpPr>
      </xdr:nvSpPr>
      <xdr:spPr bwMode="auto">
        <a:xfrm flipV="1">
          <a:off x="890016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38100</xdr:colOff>
      <xdr:row>58</xdr:row>
      <xdr:rowOff>160020</xdr:rowOff>
    </xdr:from>
    <xdr:to>
      <xdr:col>35</xdr:col>
      <xdr:colOff>236220</xdr:colOff>
      <xdr:row>59</xdr:row>
      <xdr:rowOff>45720</xdr:rowOff>
    </xdr:to>
    <xdr:sp macro="" textlink="">
      <xdr:nvSpPr>
        <xdr:cNvPr id="364847" name="Line 64">
          <a:extLst>
            <a:ext uri="{FF2B5EF4-FFF2-40B4-BE49-F238E27FC236}">
              <a16:creationId xmlns:a16="http://schemas.microsoft.com/office/drawing/2014/main" id="{00000000-0008-0000-0300-00002F910500}"/>
            </a:ext>
          </a:extLst>
        </xdr:cNvPr>
        <xdr:cNvSpPr>
          <a:spLocks noChangeShapeType="1"/>
        </xdr:cNvSpPr>
      </xdr:nvSpPr>
      <xdr:spPr bwMode="auto">
        <a:xfrm flipV="1">
          <a:off x="914400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38100</xdr:colOff>
      <xdr:row>58</xdr:row>
      <xdr:rowOff>160020</xdr:rowOff>
    </xdr:from>
    <xdr:to>
      <xdr:col>36</xdr:col>
      <xdr:colOff>236220</xdr:colOff>
      <xdr:row>59</xdr:row>
      <xdr:rowOff>45720</xdr:rowOff>
    </xdr:to>
    <xdr:sp macro="" textlink="">
      <xdr:nvSpPr>
        <xdr:cNvPr id="364848" name="Line 65">
          <a:extLst>
            <a:ext uri="{FF2B5EF4-FFF2-40B4-BE49-F238E27FC236}">
              <a16:creationId xmlns:a16="http://schemas.microsoft.com/office/drawing/2014/main" id="{00000000-0008-0000-0300-000030910500}"/>
            </a:ext>
          </a:extLst>
        </xdr:cNvPr>
        <xdr:cNvSpPr>
          <a:spLocks noChangeShapeType="1"/>
        </xdr:cNvSpPr>
      </xdr:nvSpPr>
      <xdr:spPr bwMode="auto">
        <a:xfrm flipV="1">
          <a:off x="9387840" y="1190244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68</xdr:row>
          <xdr:rowOff>114300</xdr:rowOff>
        </xdr:from>
        <xdr:to>
          <xdr:col>5</xdr:col>
          <xdr:colOff>142875</xdr:colOff>
          <xdr:row>70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3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製図確認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762000</xdr:rowOff>
        </xdr:from>
        <xdr:to>
          <xdr:col>13</xdr:col>
          <xdr:colOff>476250</xdr:colOff>
          <xdr:row>1</xdr:row>
          <xdr:rowOff>1066800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3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○書き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419100</xdr:rowOff>
        </xdr:from>
        <xdr:to>
          <xdr:col>13</xdr:col>
          <xdr:colOff>476250</xdr:colOff>
          <xdr:row>1</xdr:row>
          <xdr:rowOff>723900</xdr:rowOff>
        </xdr:to>
        <xdr:sp macro="" textlink="">
          <xdr:nvSpPr>
            <xdr:cNvPr id="355331" name="Button 3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03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1000125</xdr:rowOff>
        </xdr:from>
        <xdr:to>
          <xdr:col>4</xdr:col>
          <xdr:colOff>133350</xdr:colOff>
          <xdr:row>1</xdr:row>
          <xdr:rowOff>1352550</xdr:rowOff>
        </xdr:to>
        <xdr:sp macro="" textlink="">
          <xdr:nvSpPr>
            <xdr:cNvPr id="355332" name="Button 4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03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標準明朝"/>
                  <a:ea typeface="標準明朝"/>
                </a:rPr>
                <a:t>範囲罫線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</xdr:row>
          <xdr:rowOff>1257300</xdr:rowOff>
        </xdr:from>
        <xdr:to>
          <xdr:col>12</xdr:col>
          <xdr:colOff>38100</xdr:colOff>
          <xdr:row>1</xdr:row>
          <xdr:rowOff>1524000</xdr:rowOff>
        </xdr:to>
        <xdr:sp macro="" textlink="">
          <xdr:nvSpPr>
            <xdr:cNvPr id="355333" name="Button 5" hidden="1">
              <a:extLst>
                <a:ext uri="{63B3BB69-23CF-44E3-9099-C40C66FF867C}">
                  <a14:compatExt spid="_x0000_s355333"/>
                </a:ext>
                <a:ext uri="{FF2B5EF4-FFF2-40B4-BE49-F238E27FC236}">
                  <a16:creationId xmlns:a16="http://schemas.microsoft.com/office/drawing/2014/main" id="{00000000-0008-0000-0300-000005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</xdr:row>
          <xdr:rowOff>1257300</xdr:rowOff>
        </xdr:from>
        <xdr:to>
          <xdr:col>13</xdr:col>
          <xdr:colOff>142875</xdr:colOff>
          <xdr:row>1</xdr:row>
          <xdr:rowOff>1524000</xdr:rowOff>
        </xdr:to>
        <xdr:sp macro="" textlink="">
          <xdr:nvSpPr>
            <xdr:cNvPr id="355334" name="Button 6" hidden="1">
              <a:extLst>
                <a:ext uri="{63B3BB69-23CF-44E3-9099-C40C66FF867C}">
                  <a14:compatExt spid="_x0000_s355334"/>
                </a:ext>
                <a:ext uri="{FF2B5EF4-FFF2-40B4-BE49-F238E27FC236}">
                  <a16:creationId xmlns:a16="http://schemas.microsoft.com/office/drawing/2014/main" id="{00000000-0008-0000-0300-000006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</xdr:row>
          <xdr:rowOff>1257300</xdr:rowOff>
        </xdr:from>
        <xdr:to>
          <xdr:col>13</xdr:col>
          <xdr:colOff>485775</xdr:colOff>
          <xdr:row>1</xdr:row>
          <xdr:rowOff>1524000</xdr:rowOff>
        </xdr:to>
        <xdr:sp macro="" textlink="">
          <xdr:nvSpPr>
            <xdr:cNvPr id="355335" name="Button 7" hidden="1">
              <a:extLst>
                <a:ext uri="{63B3BB69-23CF-44E3-9099-C40C66FF867C}">
                  <a14:compatExt spid="_x0000_s355335"/>
                </a:ext>
                <a:ext uri="{FF2B5EF4-FFF2-40B4-BE49-F238E27FC236}">
                  <a16:creationId xmlns:a16="http://schemas.microsoft.com/office/drawing/2014/main" id="{00000000-0008-0000-0300-000007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1257300</xdr:rowOff>
        </xdr:from>
        <xdr:to>
          <xdr:col>10</xdr:col>
          <xdr:colOff>200025</xdr:colOff>
          <xdr:row>1</xdr:row>
          <xdr:rowOff>1524000</xdr:rowOff>
        </xdr:to>
        <xdr:sp macro="" textlink="">
          <xdr:nvSpPr>
            <xdr:cNvPr id="355336" name="Button 8" hidden="1">
              <a:extLst>
                <a:ext uri="{63B3BB69-23CF-44E3-9099-C40C66FF867C}">
                  <a14:compatExt spid="_x0000_s355336"/>
                </a:ext>
                <a:ext uri="{FF2B5EF4-FFF2-40B4-BE49-F238E27FC236}">
                  <a16:creationId xmlns:a16="http://schemas.microsoft.com/office/drawing/2014/main" id="{00000000-0008-0000-0300-000008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51</xdr:row>
      <xdr:rowOff>9525</xdr:rowOff>
    </xdr:from>
    <xdr:to>
      <xdr:col>14</xdr:col>
      <xdr:colOff>9525</xdr:colOff>
      <xdr:row>53</xdr:row>
      <xdr:rowOff>0</xdr:rowOff>
    </xdr:to>
    <xdr:sp macro="" textlink="">
      <xdr:nvSpPr>
        <xdr:cNvPr id="2" name="テキスト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2152650" y="11496675"/>
          <a:ext cx="1743075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テスト仕様書番号</a:t>
          </a: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13</xdr:col>
      <xdr:colOff>0</xdr:colOff>
      <xdr:row>57</xdr:row>
      <xdr:rowOff>0</xdr:rowOff>
    </xdr:to>
    <xdr:sp macro="" textlink="">
      <xdr:nvSpPr>
        <xdr:cNvPr id="3" name="テキスト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2143125" y="11868150"/>
          <a:ext cx="952500" cy="762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確認日</a:t>
          </a:r>
        </a:p>
      </xdr:txBody>
    </xdr:sp>
    <xdr:clientData/>
  </xdr:twoCellAnchor>
  <xdr:twoCellAnchor>
    <xdr:from>
      <xdr:col>0</xdr:col>
      <xdr:colOff>0</xdr:colOff>
      <xdr:row>51</xdr:row>
      <xdr:rowOff>0</xdr:rowOff>
    </xdr:from>
    <xdr:to>
      <xdr:col>2</xdr:col>
      <xdr:colOff>219075</xdr:colOff>
      <xdr:row>54</xdr:row>
      <xdr:rowOff>180975</xdr:rowOff>
    </xdr:to>
    <xdr:sp macro="" textlink="">
      <xdr:nvSpPr>
        <xdr:cNvPr id="4" name="テキスト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>
          <a:spLocks noChangeArrowheads="1"/>
        </xdr:cNvSpPr>
      </xdr:nvSpPr>
      <xdr:spPr bwMode="auto">
        <a:xfrm>
          <a:off x="0" y="11487150"/>
          <a:ext cx="695325" cy="752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ﾀｲﾄﾙ</a:t>
          </a:r>
        </a:p>
      </xdr:txBody>
    </xdr:sp>
    <xdr:clientData/>
  </xdr:twoCellAnchor>
  <xdr:twoCellAnchor>
    <xdr:from>
      <xdr:col>13</xdr:col>
      <xdr:colOff>0</xdr:colOff>
      <xdr:row>53</xdr:row>
      <xdr:rowOff>0</xdr:rowOff>
    </xdr:from>
    <xdr:to>
      <xdr:col>14</xdr:col>
      <xdr:colOff>0</xdr:colOff>
      <xdr:row>55</xdr:row>
      <xdr:rowOff>0</xdr:rowOff>
    </xdr:to>
    <xdr:sp macro="" textlink="">
      <xdr:nvSpPr>
        <xdr:cNvPr id="5" name="テキスト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3095625" y="1186815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机上</a:t>
          </a:r>
        </a:p>
      </xdr:txBody>
    </xdr:sp>
    <xdr:clientData/>
  </xdr:twoCellAnchor>
  <xdr:twoCellAnchor>
    <xdr:from>
      <xdr:col>13</xdr:col>
      <xdr:colOff>0</xdr:colOff>
      <xdr:row>55</xdr:row>
      <xdr:rowOff>0</xdr:rowOff>
    </xdr:from>
    <xdr:to>
      <xdr:col>14</xdr:col>
      <xdr:colOff>0</xdr:colOff>
      <xdr:row>57</xdr:row>
      <xdr:rowOff>0</xdr:rowOff>
    </xdr:to>
    <xdr:sp macro="" textlink="">
      <xdr:nvSpPr>
        <xdr:cNvPr id="6" name="テキスト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>
          <a:spLocks noChangeArrowheads="1"/>
        </xdr:cNvSpPr>
      </xdr:nvSpPr>
      <xdr:spPr bwMode="auto">
        <a:xfrm>
          <a:off x="3095625" y="1224915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マシン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13</xdr:col>
      <xdr:colOff>792480</xdr:colOff>
      <xdr:row>1</xdr:row>
      <xdr:rowOff>1706880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ShapeType="1"/>
        </xdr:cNvSpPr>
      </xdr:nvSpPr>
      <xdr:spPr bwMode="auto">
        <a:xfrm>
          <a:off x="0" y="314325"/>
          <a:ext cx="3888105" cy="170688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95250</xdr:colOff>
      <xdr:row>1</xdr:row>
      <xdr:rowOff>1419225</xdr:rowOff>
    </xdr:from>
    <xdr:to>
      <xdr:col>12</xdr:col>
      <xdr:colOff>152400</xdr:colOff>
      <xdr:row>1</xdr:row>
      <xdr:rowOff>1676400</xdr:rowOff>
    </xdr:to>
    <xdr:sp macro="" textlink="">
      <xdr:nvSpPr>
        <xdr:cNvPr id="8" name="テキスト 1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5250" y="1733550"/>
          <a:ext cx="2914650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チェック条件／確認内容</a:t>
          </a:r>
        </a:p>
      </xdr:txBody>
    </xdr:sp>
    <xdr:clientData/>
  </xdr:twoCellAnchor>
  <xdr:twoCellAnchor>
    <xdr:from>
      <xdr:col>9</xdr:col>
      <xdr:colOff>76200</xdr:colOff>
      <xdr:row>1</xdr:row>
      <xdr:rowOff>123825</xdr:rowOff>
    </xdr:from>
    <xdr:to>
      <xdr:col>13</xdr:col>
      <xdr:colOff>653396</xdr:colOff>
      <xdr:row>1</xdr:row>
      <xdr:rowOff>333375</xdr:rowOff>
    </xdr:to>
    <xdr:sp macro="" textlink="">
      <xdr:nvSpPr>
        <xdr:cNvPr id="9" name="テキスト 1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2219325" y="438150"/>
          <a:ext cx="1529696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チェックＩＤ</a:t>
          </a:r>
        </a:p>
      </xdr:txBody>
    </xdr:sp>
    <xdr:clientData/>
  </xdr:twoCellAnchor>
  <xdr:twoCellAnchor>
    <xdr:from>
      <xdr:col>28</xdr:col>
      <xdr:colOff>182880</xdr:colOff>
      <xdr:row>62</xdr:row>
      <xdr:rowOff>106680</xdr:rowOff>
    </xdr:from>
    <xdr:to>
      <xdr:col>29</xdr:col>
      <xdr:colOff>144780</xdr:colOff>
      <xdr:row>64</xdr:row>
      <xdr:rowOff>121920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ShapeType="1"/>
        </xdr:cNvSpPr>
      </xdr:nvSpPr>
      <xdr:spPr bwMode="auto">
        <a:xfrm flipV="1">
          <a:off x="7402830" y="13689330"/>
          <a:ext cx="200025" cy="3962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30480</xdr:colOff>
      <xdr:row>53</xdr:row>
      <xdr:rowOff>152400</xdr:rowOff>
    </xdr:from>
    <xdr:to>
      <xdr:col>14</xdr:col>
      <xdr:colOff>220980</xdr:colOff>
      <xdr:row>54</xdr:row>
      <xdr:rowOff>38100</xdr:rowOff>
    </xdr:to>
    <xdr:sp macro="" textlink="">
      <xdr:nvSpPr>
        <xdr:cNvPr id="11" name="Line 2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ShapeType="1"/>
        </xdr:cNvSpPr>
      </xdr:nvSpPr>
      <xdr:spPr bwMode="auto">
        <a:xfrm flipV="1">
          <a:off x="391668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30480</xdr:colOff>
      <xdr:row>53</xdr:row>
      <xdr:rowOff>152400</xdr:rowOff>
    </xdr:from>
    <xdr:to>
      <xdr:col>15</xdr:col>
      <xdr:colOff>220980</xdr:colOff>
      <xdr:row>54</xdr:row>
      <xdr:rowOff>38100</xdr:rowOff>
    </xdr:to>
    <xdr:sp macro="" textlink="">
      <xdr:nvSpPr>
        <xdr:cNvPr id="12" name="Line 2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ShapeType="1"/>
        </xdr:cNvSpPr>
      </xdr:nvSpPr>
      <xdr:spPr bwMode="auto">
        <a:xfrm flipV="1">
          <a:off x="415480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30480</xdr:colOff>
      <xdr:row>53</xdr:row>
      <xdr:rowOff>152400</xdr:rowOff>
    </xdr:from>
    <xdr:to>
      <xdr:col>16</xdr:col>
      <xdr:colOff>220980</xdr:colOff>
      <xdr:row>54</xdr:row>
      <xdr:rowOff>38100</xdr:rowOff>
    </xdr:to>
    <xdr:sp macro="" textlink="">
      <xdr:nvSpPr>
        <xdr:cNvPr id="13" name="Line 2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ShapeType="1"/>
        </xdr:cNvSpPr>
      </xdr:nvSpPr>
      <xdr:spPr bwMode="auto">
        <a:xfrm flipV="1">
          <a:off x="439293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30480</xdr:colOff>
      <xdr:row>53</xdr:row>
      <xdr:rowOff>152400</xdr:rowOff>
    </xdr:from>
    <xdr:to>
      <xdr:col>17</xdr:col>
      <xdr:colOff>220980</xdr:colOff>
      <xdr:row>54</xdr:row>
      <xdr:rowOff>38100</xdr:rowOff>
    </xdr:to>
    <xdr:sp macro="" textlink="">
      <xdr:nvSpPr>
        <xdr:cNvPr id="14" name="Line 2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ShapeType="1"/>
        </xdr:cNvSpPr>
      </xdr:nvSpPr>
      <xdr:spPr bwMode="auto">
        <a:xfrm flipV="1">
          <a:off x="463105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30480</xdr:colOff>
      <xdr:row>53</xdr:row>
      <xdr:rowOff>152400</xdr:rowOff>
    </xdr:from>
    <xdr:to>
      <xdr:col>18</xdr:col>
      <xdr:colOff>220980</xdr:colOff>
      <xdr:row>54</xdr:row>
      <xdr:rowOff>38100</xdr:rowOff>
    </xdr:to>
    <xdr:sp macro="" textlink="">
      <xdr:nvSpPr>
        <xdr:cNvPr id="15" name="Line 2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ShapeType="1"/>
        </xdr:cNvSpPr>
      </xdr:nvSpPr>
      <xdr:spPr bwMode="auto">
        <a:xfrm flipV="1">
          <a:off x="486918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30480</xdr:colOff>
      <xdr:row>53</xdr:row>
      <xdr:rowOff>152400</xdr:rowOff>
    </xdr:from>
    <xdr:to>
      <xdr:col>19</xdr:col>
      <xdr:colOff>220980</xdr:colOff>
      <xdr:row>54</xdr:row>
      <xdr:rowOff>38100</xdr:rowOff>
    </xdr:to>
    <xdr:sp macro="" textlink="">
      <xdr:nvSpPr>
        <xdr:cNvPr id="16" name="Line 2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ShapeType="1"/>
        </xdr:cNvSpPr>
      </xdr:nvSpPr>
      <xdr:spPr bwMode="auto">
        <a:xfrm flipV="1">
          <a:off x="510730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30480</xdr:colOff>
      <xdr:row>53</xdr:row>
      <xdr:rowOff>152400</xdr:rowOff>
    </xdr:from>
    <xdr:to>
      <xdr:col>20</xdr:col>
      <xdr:colOff>220980</xdr:colOff>
      <xdr:row>54</xdr:row>
      <xdr:rowOff>38100</xdr:rowOff>
    </xdr:to>
    <xdr:sp macro="" textlink="">
      <xdr:nvSpPr>
        <xdr:cNvPr id="17" name="Line 2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>
          <a:spLocks noChangeShapeType="1"/>
        </xdr:cNvSpPr>
      </xdr:nvSpPr>
      <xdr:spPr bwMode="auto">
        <a:xfrm flipV="1">
          <a:off x="534543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30480</xdr:colOff>
      <xdr:row>53</xdr:row>
      <xdr:rowOff>152400</xdr:rowOff>
    </xdr:from>
    <xdr:to>
      <xdr:col>21</xdr:col>
      <xdr:colOff>220980</xdr:colOff>
      <xdr:row>54</xdr:row>
      <xdr:rowOff>38100</xdr:rowOff>
    </xdr:to>
    <xdr:sp macro="" textlink="">
      <xdr:nvSpPr>
        <xdr:cNvPr id="18" name="Line 2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>
          <a:spLocks noChangeShapeType="1"/>
        </xdr:cNvSpPr>
      </xdr:nvSpPr>
      <xdr:spPr bwMode="auto">
        <a:xfrm flipV="1">
          <a:off x="558355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30480</xdr:colOff>
      <xdr:row>53</xdr:row>
      <xdr:rowOff>152400</xdr:rowOff>
    </xdr:from>
    <xdr:to>
      <xdr:col>22</xdr:col>
      <xdr:colOff>220980</xdr:colOff>
      <xdr:row>54</xdr:row>
      <xdr:rowOff>38100</xdr:rowOff>
    </xdr:to>
    <xdr:sp macro="" textlink="">
      <xdr:nvSpPr>
        <xdr:cNvPr id="19" name="Line 2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>
          <a:spLocks noChangeShapeType="1"/>
        </xdr:cNvSpPr>
      </xdr:nvSpPr>
      <xdr:spPr bwMode="auto">
        <a:xfrm flipV="1">
          <a:off x="582168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30480</xdr:colOff>
      <xdr:row>53</xdr:row>
      <xdr:rowOff>152400</xdr:rowOff>
    </xdr:from>
    <xdr:to>
      <xdr:col>23</xdr:col>
      <xdr:colOff>220980</xdr:colOff>
      <xdr:row>54</xdr:row>
      <xdr:rowOff>38100</xdr:rowOff>
    </xdr:to>
    <xdr:sp macro="" textlink="">
      <xdr:nvSpPr>
        <xdr:cNvPr id="20" name="Line 2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>
          <a:spLocks noChangeShapeType="1"/>
        </xdr:cNvSpPr>
      </xdr:nvSpPr>
      <xdr:spPr bwMode="auto">
        <a:xfrm flipV="1">
          <a:off x="605980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30480</xdr:colOff>
      <xdr:row>53</xdr:row>
      <xdr:rowOff>152400</xdr:rowOff>
    </xdr:from>
    <xdr:to>
      <xdr:col>24</xdr:col>
      <xdr:colOff>220980</xdr:colOff>
      <xdr:row>54</xdr:row>
      <xdr:rowOff>38100</xdr:rowOff>
    </xdr:to>
    <xdr:sp macro="" textlink="">
      <xdr:nvSpPr>
        <xdr:cNvPr id="21" name="Line 3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>
          <a:spLocks noChangeShapeType="1"/>
        </xdr:cNvSpPr>
      </xdr:nvSpPr>
      <xdr:spPr bwMode="auto">
        <a:xfrm flipV="1">
          <a:off x="629793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30480</xdr:colOff>
      <xdr:row>53</xdr:row>
      <xdr:rowOff>152400</xdr:rowOff>
    </xdr:from>
    <xdr:to>
      <xdr:col>25</xdr:col>
      <xdr:colOff>220980</xdr:colOff>
      <xdr:row>54</xdr:row>
      <xdr:rowOff>38100</xdr:rowOff>
    </xdr:to>
    <xdr:sp macro="" textlink="">
      <xdr:nvSpPr>
        <xdr:cNvPr id="22" name="Line 3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>
          <a:spLocks noChangeShapeType="1"/>
        </xdr:cNvSpPr>
      </xdr:nvSpPr>
      <xdr:spPr bwMode="auto">
        <a:xfrm flipV="1">
          <a:off x="653605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30480</xdr:colOff>
      <xdr:row>53</xdr:row>
      <xdr:rowOff>152400</xdr:rowOff>
    </xdr:from>
    <xdr:to>
      <xdr:col>26</xdr:col>
      <xdr:colOff>220980</xdr:colOff>
      <xdr:row>54</xdr:row>
      <xdr:rowOff>38100</xdr:rowOff>
    </xdr:to>
    <xdr:sp macro="" textlink="">
      <xdr:nvSpPr>
        <xdr:cNvPr id="23" name="Line 3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>
          <a:spLocks noChangeShapeType="1"/>
        </xdr:cNvSpPr>
      </xdr:nvSpPr>
      <xdr:spPr bwMode="auto">
        <a:xfrm flipV="1">
          <a:off x="677418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30480</xdr:colOff>
      <xdr:row>53</xdr:row>
      <xdr:rowOff>152400</xdr:rowOff>
    </xdr:from>
    <xdr:to>
      <xdr:col>27</xdr:col>
      <xdr:colOff>220980</xdr:colOff>
      <xdr:row>54</xdr:row>
      <xdr:rowOff>38100</xdr:rowOff>
    </xdr:to>
    <xdr:sp macro="" textlink="">
      <xdr:nvSpPr>
        <xdr:cNvPr id="24" name="Line 3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>
          <a:spLocks noChangeShapeType="1"/>
        </xdr:cNvSpPr>
      </xdr:nvSpPr>
      <xdr:spPr bwMode="auto">
        <a:xfrm flipV="1">
          <a:off x="701230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30480</xdr:colOff>
      <xdr:row>53</xdr:row>
      <xdr:rowOff>152400</xdr:rowOff>
    </xdr:from>
    <xdr:to>
      <xdr:col>28</xdr:col>
      <xdr:colOff>220980</xdr:colOff>
      <xdr:row>54</xdr:row>
      <xdr:rowOff>38100</xdr:rowOff>
    </xdr:to>
    <xdr:sp macro="" textlink="">
      <xdr:nvSpPr>
        <xdr:cNvPr id="25" name="Line 3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>
          <a:spLocks noChangeShapeType="1"/>
        </xdr:cNvSpPr>
      </xdr:nvSpPr>
      <xdr:spPr bwMode="auto">
        <a:xfrm flipV="1">
          <a:off x="725043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30480</xdr:colOff>
      <xdr:row>53</xdr:row>
      <xdr:rowOff>152400</xdr:rowOff>
    </xdr:from>
    <xdr:to>
      <xdr:col>29</xdr:col>
      <xdr:colOff>220980</xdr:colOff>
      <xdr:row>54</xdr:row>
      <xdr:rowOff>38100</xdr:rowOff>
    </xdr:to>
    <xdr:sp macro="" textlink="">
      <xdr:nvSpPr>
        <xdr:cNvPr id="26" name="Line 3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ShapeType="1"/>
        </xdr:cNvSpPr>
      </xdr:nvSpPr>
      <xdr:spPr bwMode="auto">
        <a:xfrm flipV="1">
          <a:off x="748855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30480</xdr:colOff>
      <xdr:row>53</xdr:row>
      <xdr:rowOff>152400</xdr:rowOff>
    </xdr:from>
    <xdr:to>
      <xdr:col>30</xdr:col>
      <xdr:colOff>220980</xdr:colOff>
      <xdr:row>54</xdr:row>
      <xdr:rowOff>38100</xdr:rowOff>
    </xdr:to>
    <xdr:sp macro="" textlink="">
      <xdr:nvSpPr>
        <xdr:cNvPr id="27" name="Line 3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>
          <a:spLocks noChangeShapeType="1"/>
        </xdr:cNvSpPr>
      </xdr:nvSpPr>
      <xdr:spPr bwMode="auto">
        <a:xfrm flipV="1">
          <a:off x="772668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30480</xdr:colOff>
      <xdr:row>53</xdr:row>
      <xdr:rowOff>152400</xdr:rowOff>
    </xdr:from>
    <xdr:to>
      <xdr:col>31</xdr:col>
      <xdr:colOff>220980</xdr:colOff>
      <xdr:row>54</xdr:row>
      <xdr:rowOff>38100</xdr:rowOff>
    </xdr:to>
    <xdr:sp macro="" textlink="">
      <xdr:nvSpPr>
        <xdr:cNvPr id="28" name="Line 3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>
          <a:spLocks noChangeShapeType="1"/>
        </xdr:cNvSpPr>
      </xdr:nvSpPr>
      <xdr:spPr bwMode="auto">
        <a:xfrm flipV="1">
          <a:off x="796480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30480</xdr:colOff>
      <xdr:row>53</xdr:row>
      <xdr:rowOff>152400</xdr:rowOff>
    </xdr:from>
    <xdr:to>
      <xdr:col>32</xdr:col>
      <xdr:colOff>220980</xdr:colOff>
      <xdr:row>54</xdr:row>
      <xdr:rowOff>38100</xdr:rowOff>
    </xdr:to>
    <xdr:sp macro="" textlink="">
      <xdr:nvSpPr>
        <xdr:cNvPr id="29" name="Line 3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>
          <a:spLocks noChangeShapeType="1"/>
        </xdr:cNvSpPr>
      </xdr:nvSpPr>
      <xdr:spPr bwMode="auto">
        <a:xfrm flipV="1">
          <a:off x="820293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30480</xdr:colOff>
      <xdr:row>53</xdr:row>
      <xdr:rowOff>152400</xdr:rowOff>
    </xdr:from>
    <xdr:to>
      <xdr:col>33</xdr:col>
      <xdr:colOff>220980</xdr:colOff>
      <xdr:row>54</xdr:row>
      <xdr:rowOff>38100</xdr:rowOff>
    </xdr:to>
    <xdr:sp macro="" textlink="">
      <xdr:nvSpPr>
        <xdr:cNvPr id="30" name="Line 3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>
          <a:spLocks noChangeShapeType="1"/>
        </xdr:cNvSpPr>
      </xdr:nvSpPr>
      <xdr:spPr bwMode="auto">
        <a:xfrm flipV="1">
          <a:off x="844105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30480</xdr:colOff>
      <xdr:row>53</xdr:row>
      <xdr:rowOff>152400</xdr:rowOff>
    </xdr:from>
    <xdr:to>
      <xdr:col>34</xdr:col>
      <xdr:colOff>220980</xdr:colOff>
      <xdr:row>54</xdr:row>
      <xdr:rowOff>38100</xdr:rowOff>
    </xdr:to>
    <xdr:sp macro="" textlink="">
      <xdr:nvSpPr>
        <xdr:cNvPr id="31" name="Line 4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>
          <a:spLocks noChangeShapeType="1"/>
        </xdr:cNvSpPr>
      </xdr:nvSpPr>
      <xdr:spPr bwMode="auto">
        <a:xfrm flipV="1">
          <a:off x="867918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30480</xdr:colOff>
      <xdr:row>53</xdr:row>
      <xdr:rowOff>152400</xdr:rowOff>
    </xdr:from>
    <xdr:to>
      <xdr:col>35</xdr:col>
      <xdr:colOff>220980</xdr:colOff>
      <xdr:row>54</xdr:row>
      <xdr:rowOff>38100</xdr:rowOff>
    </xdr:to>
    <xdr:sp macro="" textlink="">
      <xdr:nvSpPr>
        <xdr:cNvPr id="32" name="Line 4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>
          <a:spLocks noChangeShapeType="1"/>
        </xdr:cNvSpPr>
      </xdr:nvSpPr>
      <xdr:spPr bwMode="auto">
        <a:xfrm flipV="1">
          <a:off x="8917305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30480</xdr:colOff>
      <xdr:row>53</xdr:row>
      <xdr:rowOff>152400</xdr:rowOff>
    </xdr:from>
    <xdr:to>
      <xdr:col>36</xdr:col>
      <xdr:colOff>220980</xdr:colOff>
      <xdr:row>54</xdr:row>
      <xdr:rowOff>38100</xdr:rowOff>
    </xdr:to>
    <xdr:sp macro="" textlink="">
      <xdr:nvSpPr>
        <xdr:cNvPr id="33" name="Line 4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>
          <a:spLocks noChangeShapeType="1"/>
        </xdr:cNvSpPr>
      </xdr:nvSpPr>
      <xdr:spPr bwMode="auto">
        <a:xfrm flipV="1">
          <a:off x="9155430" y="1202055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38100</xdr:colOff>
      <xdr:row>55</xdr:row>
      <xdr:rowOff>160020</xdr:rowOff>
    </xdr:from>
    <xdr:to>
      <xdr:col>14</xdr:col>
      <xdr:colOff>236220</xdr:colOff>
      <xdr:row>56</xdr:row>
      <xdr:rowOff>45720</xdr:rowOff>
    </xdr:to>
    <xdr:sp macro="" textlink="">
      <xdr:nvSpPr>
        <xdr:cNvPr id="34" name="Line 4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>
          <a:spLocks noChangeShapeType="1"/>
        </xdr:cNvSpPr>
      </xdr:nvSpPr>
      <xdr:spPr bwMode="auto">
        <a:xfrm flipV="1">
          <a:off x="392430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38100</xdr:colOff>
      <xdr:row>55</xdr:row>
      <xdr:rowOff>160020</xdr:rowOff>
    </xdr:from>
    <xdr:to>
      <xdr:col>15</xdr:col>
      <xdr:colOff>236220</xdr:colOff>
      <xdr:row>56</xdr:row>
      <xdr:rowOff>45720</xdr:rowOff>
    </xdr:to>
    <xdr:sp macro="" textlink="">
      <xdr:nvSpPr>
        <xdr:cNvPr id="35" name="Line 4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>
          <a:spLocks noChangeShapeType="1"/>
        </xdr:cNvSpPr>
      </xdr:nvSpPr>
      <xdr:spPr bwMode="auto">
        <a:xfrm flipV="1">
          <a:off x="416242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38100</xdr:colOff>
      <xdr:row>55</xdr:row>
      <xdr:rowOff>160020</xdr:rowOff>
    </xdr:from>
    <xdr:to>
      <xdr:col>16</xdr:col>
      <xdr:colOff>236220</xdr:colOff>
      <xdr:row>56</xdr:row>
      <xdr:rowOff>45720</xdr:rowOff>
    </xdr:to>
    <xdr:sp macro="" textlink="">
      <xdr:nvSpPr>
        <xdr:cNvPr id="36" name="Line 4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>
          <a:spLocks noChangeShapeType="1"/>
        </xdr:cNvSpPr>
      </xdr:nvSpPr>
      <xdr:spPr bwMode="auto">
        <a:xfrm flipV="1">
          <a:off x="440055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38100</xdr:colOff>
      <xdr:row>55</xdr:row>
      <xdr:rowOff>160020</xdr:rowOff>
    </xdr:from>
    <xdr:to>
      <xdr:col>17</xdr:col>
      <xdr:colOff>236220</xdr:colOff>
      <xdr:row>56</xdr:row>
      <xdr:rowOff>45720</xdr:rowOff>
    </xdr:to>
    <xdr:sp macro="" textlink="">
      <xdr:nvSpPr>
        <xdr:cNvPr id="37" name="Line 4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>
          <a:spLocks noChangeShapeType="1"/>
        </xdr:cNvSpPr>
      </xdr:nvSpPr>
      <xdr:spPr bwMode="auto">
        <a:xfrm flipV="1">
          <a:off x="463867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38100</xdr:colOff>
      <xdr:row>55</xdr:row>
      <xdr:rowOff>160020</xdr:rowOff>
    </xdr:from>
    <xdr:to>
      <xdr:col>18</xdr:col>
      <xdr:colOff>236220</xdr:colOff>
      <xdr:row>56</xdr:row>
      <xdr:rowOff>45720</xdr:rowOff>
    </xdr:to>
    <xdr:sp macro="" textlink="">
      <xdr:nvSpPr>
        <xdr:cNvPr id="38" name="Line 4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>
          <a:spLocks noChangeShapeType="1"/>
        </xdr:cNvSpPr>
      </xdr:nvSpPr>
      <xdr:spPr bwMode="auto">
        <a:xfrm flipV="1">
          <a:off x="487680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38100</xdr:colOff>
      <xdr:row>55</xdr:row>
      <xdr:rowOff>160020</xdr:rowOff>
    </xdr:from>
    <xdr:to>
      <xdr:col>19</xdr:col>
      <xdr:colOff>236220</xdr:colOff>
      <xdr:row>56</xdr:row>
      <xdr:rowOff>45720</xdr:rowOff>
    </xdr:to>
    <xdr:sp macro="" textlink="">
      <xdr:nvSpPr>
        <xdr:cNvPr id="39" name="Line 4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>
          <a:spLocks noChangeShapeType="1"/>
        </xdr:cNvSpPr>
      </xdr:nvSpPr>
      <xdr:spPr bwMode="auto">
        <a:xfrm flipV="1">
          <a:off x="511492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38100</xdr:colOff>
      <xdr:row>55</xdr:row>
      <xdr:rowOff>160020</xdr:rowOff>
    </xdr:from>
    <xdr:to>
      <xdr:col>20</xdr:col>
      <xdr:colOff>236220</xdr:colOff>
      <xdr:row>56</xdr:row>
      <xdr:rowOff>45720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>
          <a:spLocks noChangeShapeType="1"/>
        </xdr:cNvSpPr>
      </xdr:nvSpPr>
      <xdr:spPr bwMode="auto">
        <a:xfrm flipV="1">
          <a:off x="535305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38100</xdr:colOff>
      <xdr:row>55</xdr:row>
      <xdr:rowOff>160020</xdr:rowOff>
    </xdr:from>
    <xdr:to>
      <xdr:col>21</xdr:col>
      <xdr:colOff>236220</xdr:colOff>
      <xdr:row>56</xdr:row>
      <xdr:rowOff>45720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>
          <a:spLocks noChangeShapeType="1"/>
        </xdr:cNvSpPr>
      </xdr:nvSpPr>
      <xdr:spPr bwMode="auto">
        <a:xfrm flipV="1">
          <a:off x="559117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38100</xdr:colOff>
      <xdr:row>55</xdr:row>
      <xdr:rowOff>160020</xdr:rowOff>
    </xdr:from>
    <xdr:to>
      <xdr:col>22</xdr:col>
      <xdr:colOff>236220</xdr:colOff>
      <xdr:row>56</xdr:row>
      <xdr:rowOff>45720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>
          <a:spLocks noChangeShapeType="1"/>
        </xdr:cNvSpPr>
      </xdr:nvSpPr>
      <xdr:spPr bwMode="auto">
        <a:xfrm flipV="1">
          <a:off x="582930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38100</xdr:colOff>
      <xdr:row>55</xdr:row>
      <xdr:rowOff>160020</xdr:rowOff>
    </xdr:from>
    <xdr:to>
      <xdr:col>23</xdr:col>
      <xdr:colOff>236220</xdr:colOff>
      <xdr:row>56</xdr:row>
      <xdr:rowOff>45720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>
          <a:spLocks noChangeShapeType="1"/>
        </xdr:cNvSpPr>
      </xdr:nvSpPr>
      <xdr:spPr bwMode="auto">
        <a:xfrm flipV="1">
          <a:off x="606742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38100</xdr:colOff>
      <xdr:row>55</xdr:row>
      <xdr:rowOff>160020</xdr:rowOff>
    </xdr:from>
    <xdr:to>
      <xdr:col>24</xdr:col>
      <xdr:colOff>236220</xdr:colOff>
      <xdr:row>56</xdr:row>
      <xdr:rowOff>45720</xdr:rowOff>
    </xdr:to>
    <xdr:sp macro="" textlink="">
      <xdr:nvSpPr>
        <xdr:cNvPr id="44" name="Line 5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>
          <a:spLocks noChangeShapeType="1"/>
        </xdr:cNvSpPr>
      </xdr:nvSpPr>
      <xdr:spPr bwMode="auto">
        <a:xfrm flipV="1">
          <a:off x="630555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38100</xdr:colOff>
      <xdr:row>55</xdr:row>
      <xdr:rowOff>160020</xdr:rowOff>
    </xdr:from>
    <xdr:to>
      <xdr:col>25</xdr:col>
      <xdr:colOff>236220</xdr:colOff>
      <xdr:row>56</xdr:row>
      <xdr:rowOff>45720</xdr:rowOff>
    </xdr:to>
    <xdr:sp macro="" textlink="">
      <xdr:nvSpPr>
        <xdr:cNvPr id="45" name="Line 5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>
          <a:spLocks noChangeShapeType="1"/>
        </xdr:cNvSpPr>
      </xdr:nvSpPr>
      <xdr:spPr bwMode="auto">
        <a:xfrm flipV="1">
          <a:off x="654367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38100</xdr:colOff>
      <xdr:row>55</xdr:row>
      <xdr:rowOff>160020</xdr:rowOff>
    </xdr:from>
    <xdr:to>
      <xdr:col>26</xdr:col>
      <xdr:colOff>236220</xdr:colOff>
      <xdr:row>56</xdr:row>
      <xdr:rowOff>45720</xdr:rowOff>
    </xdr:to>
    <xdr:sp macro="" textlink="">
      <xdr:nvSpPr>
        <xdr:cNvPr id="46" name="Line 5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>
          <a:spLocks noChangeShapeType="1"/>
        </xdr:cNvSpPr>
      </xdr:nvSpPr>
      <xdr:spPr bwMode="auto">
        <a:xfrm flipV="1">
          <a:off x="678180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38100</xdr:colOff>
      <xdr:row>55</xdr:row>
      <xdr:rowOff>160020</xdr:rowOff>
    </xdr:from>
    <xdr:to>
      <xdr:col>27</xdr:col>
      <xdr:colOff>236220</xdr:colOff>
      <xdr:row>56</xdr:row>
      <xdr:rowOff>45720</xdr:rowOff>
    </xdr:to>
    <xdr:sp macro="" textlink="">
      <xdr:nvSpPr>
        <xdr:cNvPr id="47" name="Line 5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>
          <a:spLocks noChangeShapeType="1"/>
        </xdr:cNvSpPr>
      </xdr:nvSpPr>
      <xdr:spPr bwMode="auto">
        <a:xfrm flipV="1">
          <a:off x="701992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38100</xdr:colOff>
      <xdr:row>55</xdr:row>
      <xdr:rowOff>160020</xdr:rowOff>
    </xdr:from>
    <xdr:to>
      <xdr:col>28</xdr:col>
      <xdr:colOff>236220</xdr:colOff>
      <xdr:row>56</xdr:row>
      <xdr:rowOff>45720</xdr:rowOff>
    </xdr:to>
    <xdr:sp macro="" textlink="">
      <xdr:nvSpPr>
        <xdr:cNvPr id="48" name="Line 5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>
          <a:spLocks noChangeShapeType="1"/>
        </xdr:cNvSpPr>
      </xdr:nvSpPr>
      <xdr:spPr bwMode="auto">
        <a:xfrm flipV="1">
          <a:off x="725805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38100</xdr:colOff>
      <xdr:row>55</xdr:row>
      <xdr:rowOff>160020</xdr:rowOff>
    </xdr:from>
    <xdr:to>
      <xdr:col>29</xdr:col>
      <xdr:colOff>236220</xdr:colOff>
      <xdr:row>56</xdr:row>
      <xdr:rowOff>45720</xdr:rowOff>
    </xdr:to>
    <xdr:sp macro="" textlink="">
      <xdr:nvSpPr>
        <xdr:cNvPr id="49" name="Line 5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>
          <a:spLocks noChangeShapeType="1"/>
        </xdr:cNvSpPr>
      </xdr:nvSpPr>
      <xdr:spPr bwMode="auto">
        <a:xfrm flipV="1">
          <a:off x="749617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38100</xdr:colOff>
      <xdr:row>55</xdr:row>
      <xdr:rowOff>160020</xdr:rowOff>
    </xdr:from>
    <xdr:to>
      <xdr:col>30</xdr:col>
      <xdr:colOff>236220</xdr:colOff>
      <xdr:row>56</xdr:row>
      <xdr:rowOff>45720</xdr:rowOff>
    </xdr:to>
    <xdr:sp macro="" textlink="">
      <xdr:nvSpPr>
        <xdr:cNvPr id="50" name="Line 5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>
          <a:spLocks noChangeShapeType="1"/>
        </xdr:cNvSpPr>
      </xdr:nvSpPr>
      <xdr:spPr bwMode="auto">
        <a:xfrm flipV="1">
          <a:off x="773430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38100</xdr:colOff>
      <xdr:row>55</xdr:row>
      <xdr:rowOff>160020</xdr:rowOff>
    </xdr:from>
    <xdr:to>
      <xdr:col>31</xdr:col>
      <xdr:colOff>236220</xdr:colOff>
      <xdr:row>56</xdr:row>
      <xdr:rowOff>45720</xdr:rowOff>
    </xdr:to>
    <xdr:sp macro="" textlink="">
      <xdr:nvSpPr>
        <xdr:cNvPr id="51" name="Line 6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>
          <a:spLocks noChangeShapeType="1"/>
        </xdr:cNvSpPr>
      </xdr:nvSpPr>
      <xdr:spPr bwMode="auto">
        <a:xfrm flipV="1">
          <a:off x="797242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38100</xdr:colOff>
      <xdr:row>55</xdr:row>
      <xdr:rowOff>160020</xdr:rowOff>
    </xdr:from>
    <xdr:to>
      <xdr:col>32</xdr:col>
      <xdr:colOff>236220</xdr:colOff>
      <xdr:row>56</xdr:row>
      <xdr:rowOff>45720</xdr:rowOff>
    </xdr:to>
    <xdr:sp macro="" textlink="">
      <xdr:nvSpPr>
        <xdr:cNvPr id="52" name="Line 6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>
          <a:spLocks noChangeShapeType="1"/>
        </xdr:cNvSpPr>
      </xdr:nvSpPr>
      <xdr:spPr bwMode="auto">
        <a:xfrm flipV="1">
          <a:off x="821055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38100</xdr:colOff>
      <xdr:row>55</xdr:row>
      <xdr:rowOff>160020</xdr:rowOff>
    </xdr:from>
    <xdr:to>
      <xdr:col>33</xdr:col>
      <xdr:colOff>236220</xdr:colOff>
      <xdr:row>56</xdr:row>
      <xdr:rowOff>45720</xdr:rowOff>
    </xdr:to>
    <xdr:sp macro="" textlink="">
      <xdr:nvSpPr>
        <xdr:cNvPr id="53" name="Line 6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>
          <a:spLocks noChangeShapeType="1"/>
        </xdr:cNvSpPr>
      </xdr:nvSpPr>
      <xdr:spPr bwMode="auto">
        <a:xfrm flipV="1">
          <a:off x="844867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38100</xdr:colOff>
      <xdr:row>55</xdr:row>
      <xdr:rowOff>160020</xdr:rowOff>
    </xdr:from>
    <xdr:to>
      <xdr:col>34</xdr:col>
      <xdr:colOff>236220</xdr:colOff>
      <xdr:row>56</xdr:row>
      <xdr:rowOff>45720</xdr:rowOff>
    </xdr:to>
    <xdr:sp macro="" textlink="">
      <xdr:nvSpPr>
        <xdr:cNvPr id="54" name="Line 6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>
          <a:spLocks noChangeShapeType="1"/>
        </xdr:cNvSpPr>
      </xdr:nvSpPr>
      <xdr:spPr bwMode="auto">
        <a:xfrm flipV="1">
          <a:off x="868680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38100</xdr:colOff>
      <xdr:row>55</xdr:row>
      <xdr:rowOff>160020</xdr:rowOff>
    </xdr:from>
    <xdr:to>
      <xdr:col>35</xdr:col>
      <xdr:colOff>236220</xdr:colOff>
      <xdr:row>56</xdr:row>
      <xdr:rowOff>45720</xdr:rowOff>
    </xdr:to>
    <xdr:sp macro="" textlink="">
      <xdr:nvSpPr>
        <xdr:cNvPr id="55" name="Line 6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>
          <a:spLocks noChangeShapeType="1"/>
        </xdr:cNvSpPr>
      </xdr:nvSpPr>
      <xdr:spPr bwMode="auto">
        <a:xfrm flipV="1">
          <a:off x="8924925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38100</xdr:colOff>
      <xdr:row>55</xdr:row>
      <xdr:rowOff>160020</xdr:rowOff>
    </xdr:from>
    <xdr:to>
      <xdr:col>36</xdr:col>
      <xdr:colOff>236220</xdr:colOff>
      <xdr:row>56</xdr:row>
      <xdr:rowOff>45720</xdr:rowOff>
    </xdr:to>
    <xdr:sp macro="" textlink="">
      <xdr:nvSpPr>
        <xdr:cNvPr id="56" name="Line 6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>
          <a:spLocks noChangeShapeType="1"/>
        </xdr:cNvSpPr>
      </xdr:nvSpPr>
      <xdr:spPr bwMode="auto">
        <a:xfrm flipV="1">
          <a:off x="9163050" y="1240917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65</xdr:row>
          <xdr:rowOff>114300</xdr:rowOff>
        </xdr:from>
        <xdr:to>
          <xdr:col>5</xdr:col>
          <xdr:colOff>142875</xdr:colOff>
          <xdr:row>67</xdr:row>
          <xdr:rowOff>114300</xdr:rowOff>
        </xdr:to>
        <xdr:sp macro="" textlink="">
          <xdr:nvSpPr>
            <xdr:cNvPr id="359425" name="Button 1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04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製図確認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762000</xdr:rowOff>
        </xdr:from>
        <xdr:to>
          <xdr:col>13</xdr:col>
          <xdr:colOff>476250</xdr:colOff>
          <xdr:row>1</xdr:row>
          <xdr:rowOff>1066800</xdr:rowOff>
        </xdr:to>
        <xdr:sp macro="" textlink="">
          <xdr:nvSpPr>
            <xdr:cNvPr id="359426" name="Button 2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04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○書き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419100</xdr:rowOff>
        </xdr:from>
        <xdr:to>
          <xdr:col>13</xdr:col>
          <xdr:colOff>476250</xdr:colOff>
          <xdr:row>1</xdr:row>
          <xdr:rowOff>723900</xdr:rowOff>
        </xdr:to>
        <xdr:sp macro="" textlink="">
          <xdr:nvSpPr>
            <xdr:cNvPr id="359427" name="Button 3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04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1000125</xdr:rowOff>
        </xdr:from>
        <xdr:to>
          <xdr:col>4</xdr:col>
          <xdr:colOff>133350</xdr:colOff>
          <xdr:row>1</xdr:row>
          <xdr:rowOff>1352550</xdr:rowOff>
        </xdr:to>
        <xdr:sp macro="" textlink="">
          <xdr:nvSpPr>
            <xdr:cNvPr id="359428" name="Button 4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04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標準明朝"/>
                  <a:ea typeface="標準明朝"/>
                </a:rPr>
                <a:t>範囲罫線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</xdr:row>
          <xdr:rowOff>1257300</xdr:rowOff>
        </xdr:from>
        <xdr:to>
          <xdr:col>12</xdr:col>
          <xdr:colOff>38100</xdr:colOff>
          <xdr:row>1</xdr:row>
          <xdr:rowOff>1524000</xdr:rowOff>
        </xdr:to>
        <xdr:sp macro="" textlink="">
          <xdr:nvSpPr>
            <xdr:cNvPr id="359429" name="Button 5" hidden="1">
              <a:extLst>
                <a:ext uri="{63B3BB69-23CF-44E3-9099-C40C66FF867C}">
                  <a14:compatExt spid="_x0000_s359429"/>
                </a:ext>
                <a:ext uri="{FF2B5EF4-FFF2-40B4-BE49-F238E27FC236}">
                  <a16:creationId xmlns:a16="http://schemas.microsoft.com/office/drawing/2014/main" id="{00000000-0008-0000-0400-000005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</xdr:row>
          <xdr:rowOff>1257300</xdr:rowOff>
        </xdr:from>
        <xdr:to>
          <xdr:col>13</xdr:col>
          <xdr:colOff>142875</xdr:colOff>
          <xdr:row>1</xdr:row>
          <xdr:rowOff>1524000</xdr:rowOff>
        </xdr:to>
        <xdr:sp macro="" textlink="">
          <xdr:nvSpPr>
            <xdr:cNvPr id="359430" name="Button 6" hidden="1">
              <a:extLst>
                <a:ext uri="{63B3BB69-23CF-44E3-9099-C40C66FF867C}">
                  <a14:compatExt spid="_x0000_s359430"/>
                </a:ext>
                <a:ext uri="{FF2B5EF4-FFF2-40B4-BE49-F238E27FC236}">
                  <a16:creationId xmlns:a16="http://schemas.microsoft.com/office/drawing/2014/main" id="{00000000-0008-0000-0400-000006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</xdr:row>
          <xdr:rowOff>1257300</xdr:rowOff>
        </xdr:from>
        <xdr:to>
          <xdr:col>13</xdr:col>
          <xdr:colOff>485775</xdr:colOff>
          <xdr:row>1</xdr:row>
          <xdr:rowOff>1524000</xdr:rowOff>
        </xdr:to>
        <xdr:sp macro="" textlink="">
          <xdr:nvSpPr>
            <xdr:cNvPr id="359431" name="Button 7" hidden="1">
              <a:extLst>
                <a:ext uri="{63B3BB69-23CF-44E3-9099-C40C66FF867C}">
                  <a14:compatExt spid="_x0000_s359431"/>
                </a:ext>
                <a:ext uri="{FF2B5EF4-FFF2-40B4-BE49-F238E27FC236}">
                  <a16:creationId xmlns:a16="http://schemas.microsoft.com/office/drawing/2014/main" id="{00000000-0008-0000-0400-000007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1257300</xdr:rowOff>
        </xdr:from>
        <xdr:to>
          <xdr:col>10</xdr:col>
          <xdr:colOff>200025</xdr:colOff>
          <xdr:row>1</xdr:row>
          <xdr:rowOff>1524000</xdr:rowOff>
        </xdr:to>
        <xdr:sp macro="" textlink="">
          <xdr:nvSpPr>
            <xdr:cNvPr id="359432" name="Button 8" hidden="1">
              <a:extLst>
                <a:ext uri="{63B3BB69-23CF-44E3-9099-C40C66FF867C}">
                  <a14:compatExt spid="_x0000_s359432"/>
                </a:ext>
                <a:ext uri="{FF2B5EF4-FFF2-40B4-BE49-F238E27FC236}">
                  <a16:creationId xmlns:a16="http://schemas.microsoft.com/office/drawing/2014/main" id="{00000000-0008-0000-0400-000008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Ｎ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190500</xdr:colOff>
      <xdr:row>17</xdr:row>
      <xdr:rowOff>9525</xdr:rowOff>
    </xdr:from>
    <xdr:to>
      <xdr:col>59</xdr:col>
      <xdr:colOff>104775</xdr:colOff>
      <xdr:row>18</xdr:row>
      <xdr:rowOff>190499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 bwMode="auto">
        <a:xfrm>
          <a:off x="9553575" y="4895850"/>
          <a:ext cx="5153025" cy="371474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ja-JP" altLang="en-US" sz="1100"/>
            <a:t>全返品、一部返品のみの場合は「出荷指示」対象外になるので、テスト実施しない</a:t>
          </a:r>
          <a:endParaRPr kumimoji="1" lang="en-US" altLang="ja-JP" sz="1100"/>
        </a:p>
      </xdr:txBody>
    </xdr:sp>
    <xdr:clientData/>
  </xdr:twoCellAnchor>
  <xdr:twoCellAnchor>
    <xdr:from>
      <xdr:col>38</xdr:col>
      <xdr:colOff>57150</xdr:colOff>
      <xdr:row>22</xdr:row>
      <xdr:rowOff>352425</xdr:rowOff>
    </xdr:from>
    <xdr:to>
      <xdr:col>53</xdr:col>
      <xdr:colOff>209550</xdr:colOff>
      <xdr:row>25</xdr:row>
      <xdr:rowOff>95250</xdr:rowOff>
    </xdr:to>
    <xdr:sp macro="" textlink="">
      <xdr:nvSpPr>
        <xdr:cNvPr id="67" name="正方形/長方形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 bwMode="auto">
        <a:xfrm>
          <a:off x="9658350" y="6391275"/>
          <a:ext cx="3724275" cy="5048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ja-JP" altLang="en-US" sz="1100"/>
            <a:t>計算方法に問題無いことを確認しながらテスト実施する</a:t>
          </a:r>
          <a:endParaRPr kumimoji="1" lang="en-US" altLang="ja-JP" sz="1100"/>
        </a:p>
        <a:p>
          <a:pPr algn="l"/>
          <a:r>
            <a:rPr kumimoji="1" lang="en-US" altLang="ja-JP" sz="1100"/>
            <a:t>(</a:t>
          </a:r>
          <a:r>
            <a:rPr kumimoji="1" lang="ja-JP" altLang="en-US" sz="1100"/>
            <a:t>計算方法は、設計書を参考にする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37</xdr:col>
      <xdr:colOff>228600</xdr:colOff>
      <xdr:row>27</xdr:row>
      <xdr:rowOff>171450</xdr:rowOff>
    </xdr:from>
    <xdr:to>
      <xdr:col>57</xdr:col>
      <xdr:colOff>209550</xdr:colOff>
      <xdr:row>31</xdr:row>
      <xdr:rowOff>104775</xdr:rowOff>
    </xdr:to>
    <xdr:sp macro="" textlink="">
      <xdr:nvSpPr>
        <xdr:cNvPr id="68" name="正方形/長方形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 bwMode="auto">
        <a:xfrm>
          <a:off x="9591675" y="7162800"/>
          <a:ext cx="4743450" cy="6953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en-US" altLang="ja-JP" sz="1100"/>
            <a:t>CCL</a:t>
          </a:r>
          <a:r>
            <a:rPr kumimoji="1" lang="ja-JP" altLang="en-US" sz="1100"/>
            <a:t>作成者の想定では以下の様な挙動</a:t>
          </a:r>
          <a:endParaRPr kumimoji="1" lang="en-US" altLang="ja-JP" sz="1100"/>
        </a:p>
        <a:p>
          <a:pPr algn="l"/>
          <a:r>
            <a:rPr kumimoji="1" lang="ja-JP" altLang="en-US" sz="1100"/>
            <a:t>一致：</a:t>
          </a:r>
          <a:r>
            <a:rPr kumimoji="1" lang="en-US" altLang="ja-JP" sz="1100"/>
            <a:t>RMS</a:t>
          </a:r>
          <a:r>
            <a:rPr kumimoji="1" lang="ja-JP" altLang="en-US" sz="1100"/>
            <a:t>側でキャンセル申請を行わなずに、チェック実施</a:t>
          </a:r>
          <a:endParaRPr kumimoji="1" lang="en-US" altLang="ja-JP" sz="1100"/>
        </a:p>
        <a:p>
          <a:pPr algn="l"/>
          <a:r>
            <a:rPr kumimoji="1" lang="ja-JP" altLang="en-US" sz="1100"/>
            <a:t>不一致：</a:t>
          </a:r>
          <a:r>
            <a:rPr kumimoji="1" lang="en-US" altLang="ja-JP" sz="1100"/>
            <a:t>RMS</a:t>
          </a:r>
          <a:r>
            <a:rPr kumimoji="1" lang="ja-JP" altLang="en-US" sz="1100"/>
            <a:t>側で誤ってキャンセル申請を行って、チェック実施</a:t>
          </a:r>
          <a:endParaRPr kumimoji="1" lang="en-US" altLang="ja-JP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51</xdr:row>
      <xdr:rowOff>9525</xdr:rowOff>
    </xdr:from>
    <xdr:to>
      <xdr:col>14</xdr:col>
      <xdr:colOff>9525</xdr:colOff>
      <xdr:row>53</xdr:row>
      <xdr:rowOff>0</xdr:rowOff>
    </xdr:to>
    <xdr:sp macro="" textlink="">
      <xdr:nvSpPr>
        <xdr:cNvPr id="2" name="テキスト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2152650" y="11934825"/>
          <a:ext cx="1743075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テスト仕様書番号</a:t>
          </a: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13</xdr:col>
      <xdr:colOff>0</xdr:colOff>
      <xdr:row>57</xdr:row>
      <xdr:rowOff>0</xdr:rowOff>
    </xdr:to>
    <xdr:sp macro="" textlink="">
      <xdr:nvSpPr>
        <xdr:cNvPr id="3" name="テキスト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2143125" y="12306300"/>
          <a:ext cx="952500" cy="762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確認日</a:t>
          </a:r>
        </a:p>
      </xdr:txBody>
    </xdr:sp>
    <xdr:clientData/>
  </xdr:twoCellAnchor>
  <xdr:twoCellAnchor>
    <xdr:from>
      <xdr:col>0</xdr:col>
      <xdr:colOff>0</xdr:colOff>
      <xdr:row>51</xdr:row>
      <xdr:rowOff>0</xdr:rowOff>
    </xdr:from>
    <xdr:to>
      <xdr:col>2</xdr:col>
      <xdr:colOff>219075</xdr:colOff>
      <xdr:row>54</xdr:row>
      <xdr:rowOff>180975</xdr:rowOff>
    </xdr:to>
    <xdr:sp macro="" textlink="">
      <xdr:nvSpPr>
        <xdr:cNvPr id="4" name="テキスト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0" y="11925300"/>
          <a:ext cx="695325" cy="752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ﾀｲﾄﾙ</a:t>
          </a:r>
        </a:p>
      </xdr:txBody>
    </xdr:sp>
    <xdr:clientData/>
  </xdr:twoCellAnchor>
  <xdr:twoCellAnchor>
    <xdr:from>
      <xdr:col>13</xdr:col>
      <xdr:colOff>0</xdr:colOff>
      <xdr:row>53</xdr:row>
      <xdr:rowOff>0</xdr:rowOff>
    </xdr:from>
    <xdr:to>
      <xdr:col>14</xdr:col>
      <xdr:colOff>0</xdr:colOff>
      <xdr:row>55</xdr:row>
      <xdr:rowOff>0</xdr:rowOff>
    </xdr:to>
    <xdr:sp macro="" textlink="">
      <xdr:nvSpPr>
        <xdr:cNvPr id="5" name="テキスト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3095625" y="12306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机上</a:t>
          </a:r>
        </a:p>
      </xdr:txBody>
    </xdr:sp>
    <xdr:clientData/>
  </xdr:twoCellAnchor>
  <xdr:twoCellAnchor>
    <xdr:from>
      <xdr:col>13</xdr:col>
      <xdr:colOff>0</xdr:colOff>
      <xdr:row>55</xdr:row>
      <xdr:rowOff>0</xdr:rowOff>
    </xdr:from>
    <xdr:to>
      <xdr:col>14</xdr:col>
      <xdr:colOff>0</xdr:colOff>
      <xdr:row>57</xdr:row>
      <xdr:rowOff>0</xdr:rowOff>
    </xdr:to>
    <xdr:sp macro="" textlink="">
      <xdr:nvSpPr>
        <xdr:cNvPr id="6" name="テキスト 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3095625" y="12687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マシン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13</xdr:col>
      <xdr:colOff>792480</xdr:colOff>
      <xdr:row>1</xdr:row>
      <xdr:rowOff>1706880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ShapeType="1"/>
        </xdr:cNvSpPr>
      </xdr:nvSpPr>
      <xdr:spPr bwMode="auto">
        <a:xfrm>
          <a:off x="0" y="314325"/>
          <a:ext cx="3888105" cy="170688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95250</xdr:colOff>
      <xdr:row>1</xdr:row>
      <xdr:rowOff>1419225</xdr:rowOff>
    </xdr:from>
    <xdr:to>
      <xdr:col>12</xdr:col>
      <xdr:colOff>152400</xdr:colOff>
      <xdr:row>1</xdr:row>
      <xdr:rowOff>1676400</xdr:rowOff>
    </xdr:to>
    <xdr:sp macro="" textlink="">
      <xdr:nvSpPr>
        <xdr:cNvPr id="8" name="テキスト 1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95250" y="1733550"/>
          <a:ext cx="2914650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チェック条件／確認内容</a:t>
          </a:r>
        </a:p>
      </xdr:txBody>
    </xdr:sp>
    <xdr:clientData/>
  </xdr:twoCellAnchor>
  <xdr:twoCellAnchor>
    <xdr:from>
      <xdr:col>9</xdr:col>
      <xdr:colOff>76200</xdr:colOff>
      <xdr:row>1</xdr:row>
      <xdr:rowOff>123825</xdr:rowOff>
    </xdr:from>
    <xdr:to>
      <xdr:col>13</xdr:col>
      <xdr:colOff>653396</xdr:colOff>
      <xdr:row>1</xdr:row>
      <xdr:rowOff>333375</xdr:rowOff>
    </xdr:to>
    <xdr:sp macro="" textlink="">
      <xdr:nvSpPr>
        <xdr:cNvPr id="9" name="テキスト 1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2219325" y="438150"/>
          <a:ext cx="1529696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チェックＩＤ</a:t>
          </a:r>
        </a:p>
      </xdr:txBody>
    </xdr:sp>
    <xdr:clientData/>
  </xdr:twoCellAnchor>
  <xdr:twoCellAnchor>
    <xdr:from>
      <xdr:col>28</xdr:col>
      <xdr:colOff>182880</xdr:colOff>
      <xdr:row>62</xdr:row>
      <xdr:rowOff>106680</xdr:rowOff>
    </xdr:from>
    <xdr:to>
      <xdr:col>29</xdr:col>
      <xdr:colOff>144780</xdr:colOff>
      <xdr:row>64</xdr:row>
      <xdr:rowOff>121920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ShapeType="1"/>
        </xdr:cNvSpPr>
      </xdr:nvSpPr>
      <xdr:spPr bwMode="auto">
        <a:xfrm flipV="1">
          <a:off x="7402830" y="14127480"/>
          <a:ext cx="200025" cy="3962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30480</xdr:colOff>
      <xdr:row>53</xdr:row>
      <xdr:rowOff>152400</xdr:rowOff>
    </xdr:from>
    <xdr:to>
      <xdr:col>14</xdr:col>
      <xdr:colOff>220980</xdr:colOff>
      <xdr:row>54</xdr:row>
      <xdr:rowOff>38100</xdr:rowOff>
    </xdr:to>
    <xdr:sp macro="" textlink="">
      <xdr:nvSpPr>
        <xdr:cNvPr id="11" name="Line 2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ShapeType="1"/>
        </xdr:cNvSpPr>
      </xdr:nvSpPr>
      <xdr:spPr bwMode="auto">
        <a:xfrm flipV="1">
          <a:off x="3916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30480</xdr:colOff>
      <xdr:row>53</xdr:row>
      <xdr:rowOff>152400</xdr:rowOff>
    </xdr:from>
    <xdr:to>
      <xdr:col>15</xdr:col>
      <xdr:colOff>220980</xdr:colOff>
      <xdr:row>54</xdr:row>
      <xdr:rowOff>38100</xdr:rowOff>
    </xdr:to>
    <xdr:sp macro="" textlink="">
      <xdr:nvSpPr>
        <xdr:cNvPr id="12" name="Line 2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ShapeType="1"/>
        </xdr:cNvSpPr>
      </xdr:nvSpPr>
      <xdr:spPr bwMode="auto">
        <a:xfrm flipV="1">
          <a:off x="4154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30480</xdr:colOff>
      <xdr:row>53</xdr:row>
      <xdr:rowOff>152400</xdr:rowOff>
    </xdr:from>
    <xdr:to>
      <xdr:col>16</xdr:col>
      <xdr:colOff>220980</xdr:colOff>
      <xdr:row>54</xdr:row>
      <xdr:rowOff>38100</xdr:rowOff>
    </xdr:to>
    <xdr:sp macro="" textlink="">
      <xdr:nvSpPr>
        <xdr:cNvPr id="13" name="Line 2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ShapeType="1"/>
        </xdr:cNvSpPr>
      </xdr:nvSpPr>
      <xdr:spPr bwMode="auto">
        <a:xfrm flipV="1">
          <a:off x="4392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30480</xdr:colOff>
      <xdr:row>53</xdr:row>
      <xdr:rowOff>152400</xdr:rowOff>
    </xdr:from>
    <xdr:to>
      <xdr:col>17</xdr:col>
      <xdr:colOff>220980</xdr:colOff>
      <xdr:row>54</xdr:row>
      <xdr:rowOff>38100</xdr:rowOff>
    </xdr:to>
    <xdr:sp macro="" textlink="">
      <xdr:nvSpPr>
        <xdr:cNvPr id="14" name="Line 2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ShapeType="1"/>
        </xdr:cNvSpPr>
      </xdr:nvSpPr>
      <xdr:spPr bwMode="auto">
        <a:xfrm flipV="1">
          <a:off x="4631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30480</xdr:colOff>
      <xdr:row>53</xdr:row>
      <xdr:rowOff>152400</xdr:rowOff>
    </xdr:from>
    <xdr:to>
      <xdr:col>18</xdr:col>
      <xdr:colOff>220980</xdr:colOff>
      <xdr:row>54</xdr:row>
      <xdr:rowOff>38100</xdr:rowOff>
    </xdr:to>
    <xdr:sp macro="" textlink="">
      <xdr:nvSpPr>
        <xdr:cNvPr id="15" name="Line 2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ShapeType="1"/>
        </xdr:cNvSpPr>
      </xdr:nvSpPr>
      <xdr:spPr bwMode="auto">
        <a:xfrm flipV="1">
          <a:off x="4869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30480</xdr:colOff>
      <xdr:row>53</xdr:row>
      <xdr:rowOff>152400</xdr:rowOff>
    </xdr:from>
    <xdr:to>
      <xdr:col>19</xdr:col>
      <xdr:colOff>220980</xdr:colOff>
      <xdr:row>54</xdr:row>
      <xdr:rowOff>38100</xdr:rowOff>
    </xdr:to>
    <xdr:sp macro="" textlink="">
      <xdr:nvSpPr>
        <xdr:cNvPr id="16" name="Line 2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ShapeType="1"/>
        </xdr:cNvSpPr>
      </xdr:nvSpPr>
      <xdr:spPr bwMode="auto">
        <a:xfrm flipV="1">
          <a:off x="5107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30480</xdr:colOff>
      <xdr:row>53</xdr:row>
      <xdr:rowOff>152400</xdr:rowOff>
    </xdr:from>
    <xdr:to>
      <xdr:col>20</xdr:col>
      <xdr:colOff>220980</xdr:colOff>
      <xdr:row>54</xdr:row>
      <xdr:rowOff>38100</xdr:rowOff>
    </xdr:to>
    <xdr:sp macro="" textlink="">
      <xdr:nvSpPr>
        <xdr:cNvPr id="17" name="Line 2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ShapeType="1"/>
        </xdr:cNvSpPr>
      </xdr:nvSpPr>
      <xdr:spPr bwMode="auto">
        <a:xfrm flipV="1">
          <a:off x="5345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30480</xdr:colOff>
      <xdr:row>53</xdr:row>
      <xdr:rowOff>152400</xdr:rowOff>
    </xdr:from>
    <xdr:to>
      <xdr:col>21</xdr:col>
      <xdr:colOff>220980</xdr:colOff>
      <xdr:row>54</xdr:row>
      <xdr:rowOff>38100</xdr:rowOff>
    </xdr:to>
    <xdr:sp macro="" textlink="">
      <xdr:nvSpPr>
        <xdr:cNvPr id="18" name="Line 2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ShapeType="1"/>
        </xdr:cNvSpPr>
      </xdr:nvSpPr>
      <xdr:spPr bwMode="auto">
        <a:xfrm flipV="1">
          <a:off x="55835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30480</xdr:colOff>
      <xdr:row>53</xdr:row>
      <xdr:rowOff>152400</xdr:rowOff>
    </xdr:from>
    <xdr:to>
      <xdr:col>22</xdr:col>
      <xdr:colOff>220980</xdr:colOff>
      <xdr:row>54</xdr:row>
      <xdr:rowOff>38100</xdr:rowOff>
    </xdr:to>
    <xdr:sp macro="" textlink="">
      <xdr:nvSpPr>
        <xdr:cNvPr id="19" name="Line 2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ShapeType="1"/>
        </xdr:cNvSpPr>
      </xdr:nvSpPr>
      <xdr:spPr bwMode="auto">
        <a:xfrm flipV="1">
          <a:off x="5821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30480</xdr:colOff>
      <xdr:row>53</xdr:row>
      <xdr:rowOff>152400</xdr:rowOff>
    </xdr:from>
    <xdr:to>
      <xdr:col>23</xdr:col>
      <xdr:colOff>220980</xdr:colOff>
      <xdr:row>54</xdr:row>
      <xdr:rowOff>38100</xdr:rowOff>
    </xdr:to>
    <xdr:sp macro="" textlink="">
      <xdr:nvSpPr>
        <xdr:cNvPr id="20" name="Line 2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ShapeType="1"/>
        </xdr:cNvSpPr>
      </xdr:nvSpPr>
      <xdr:spPr bwMode="auto">
        <a:xfrm flipV="1">
          <a:off x="6059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30480</xdr:colOff>
      <xdr:row>53</xdr:row>
      <xdr:rowOff>152400</xdr:rowOff>
    </xdr:from>
    <xdr:to>
      <xdr:col>24</xdr:col>
      <xdr:colOff>220980</xdr:colOff>
      <xdr:row>54</xdr:row>
      <xdr:rowOff>38100</xdr:rowOff>
    </xdr:to>
    <xdr:sp macro="" textlink="">
      <xdr:nvSpPr>
        <xdr:cNvPr id="21" name="Line 3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ShapeType="1"/>
        </xdr:cNvSpPr>
      </xdr:nvSpPr>
      <xdr:spPr bwMode="auto">
        <a:xfrm flipV="1">
          <a:off x="6297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30480</xdr:colOff>
      <xdr:row>53</xdr:row>
      <xdr:rowOff>152400</xdr:rowOff>
    </xdr:from>
    <xdr:to>
      <xdr:col>25</xdr:col>
      <xdr:colOff>220980</xdr:colOff>
      <xdr:row>54</xdr:row>
      <xdr:rowOff>38100</xdr:rowOff>
    </xdr:to>
    <xdr:sp macro="" textlink="">
      <xdr:nvSpPr>
        <xdr:cNvPr id="22" name="Line 3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ShapeType="1"/>
        </xdr:cNvSpPr>
      </xdr:nvSpPr>
      <xdr:spPr bwMode="auto">
        <a:xfrm flipV="1">
          <a:off x="6536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30480</xdr:colOff>
      <xdr:row>53</xdr:row>
      <xdr:rowOff>152400</xdr:rowOff>
    </xdr:from>
    <xdr:to>
      <xdr:col>26</xdr:col>
      <xdr:colOff>220980</xdr:colOff>
      <xdr:row>54</xdr:row>
      <xdr:rowOff>38100</xdr:rowOff>
    </xdr:to>
    <xdr:sp macro="" textlink="">
      <xdr:nvSpPr>
        <xdr:cNvPr id="23" name="Line 3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ShapeType="1"/>
        </xdr:cNvSpPr>
      </xdr:nvSpPr>
      <xdr:spPr bwMode="auto">
        <a:xfrm flipV="1">
          <a:off x="6774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30480</xdr:colOff>
      <xdr:row>53</xdr:row>
      <xdr:rowOff>152400</xdr:rowOff>
    </xdr:from>
    <xdr:to>
      <xdr:col>27</xdr:col>
      <xdr:colOff>220980</xdr:colOff>
      <xdr:row>54</xdr:row>
      <xdr:rowOff>38100</xdr:rowOff>
    </xdr:to>
    <xdr:sp macro="" textlink="">
      <xdr:nvSpPr>
        <xdr:cNvPr id="24" name="Line 3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ShapeType="1"/>
        </xdr:cNvSpPr>
      </xdr:nvSpPr>
      <xdr:spPr bwMode="auto">
        <a:xfrm flipV="1">
          <a:off x="7012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30480</xdr:colOff>
      <xdr:row>53</xdr:row>
      <xdr:rowOff>152400</xdr:rowOff>
    </xdr:from>
    <xdr:to>
      <xdr:col>28</xdr:col>
      <xdr:colOff>220980</xdr:colOff>
      <xdr:row>54</xdr:row>
      <xdr:rowOff>38100</xdr:rowOff>
    </xdr:to>
    <xdr:sp macro="" textlink="">
      <xdr:nvSpPr>
        <xdr:cNvPr id="25" name="Line 3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ShapeType="1"/>
        </xdr:cNvSpPr>
      </xdr:nvSpPr>
      <xdr:spPr bwMode="auto">
        <a:xfrm flipV="1">
          <a:off x="7250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30480</xdr:colOff>
      <xdr:row>53</xdr:row>
      <xdr:rowOff>152400</xdr:rowOff>
    </xdr:from>
    <xdr:to>
      <xdr:col>29</xdr:col>
      <xdr:colOff>220980</xdr:colOff>
      <xdr:row>54</xdr:row>
      <xdr:rowOff>38100</xdr:rowOff>
    </xdr:to>
    <xdr:sp macro="" textlink="">
      <xdr:nvSpPr>
        <xdr:cNvPr id="26" name="Line 3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ShapeType="1"/>
        </xdr:cNvSpPr>
      </xdr:nvSpPr>
      <xdr:spPr bwMode="auto">
        <a:xfrm flipV="1">
          <a:off x="74885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30480</xdr:colOff>
      <xdr:row>53</xdr:row>
      <xdr:rowOff>152400</xdr:rowOff>
    </xdr:from>
    <xdr:to>
      <xdr:col>30</xdr:col>
      <xdr:colOff>220980</xdr:colOff>
      <xdr:row>54</xdr:row>
      <xdr:rowOff>38100</xdr:rowOff>
    </xdr:to>
    <xdr:sp macro="" textlink="">
      <xdr:nvSpPr>
        <xdr:cNvPr id="27" name="Line 3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ShapeType="1"/>
        </xdr:cNvSpPr>
      </xdr:nvSpPr>
      <xdr:spPr bwMode="auto">
        <a:xfrm flipV="1">
          <a:off x="7726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30480</xdr:colOff>
      <xdr:row>53</xdr:row>
      <xdr:rowOff>152400</xdr:rowOff>
    </xdr:from>
    <xdr:to>
      <xdr:col>31</xdr:col>
      <xdr:colOff>220980</xdr:colOff>
      <xdr:row>54</xdr:row>
      <xdr:rowOff>38100</xdr:rowOff>
    </xdr:to>
    <xdr:sp macro="" textlink="">
      <xdr:nvSpPr>
        <xdr:cNvPr id="28" name="Line 3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ShapeType="1"/>
        </xdr:cNvSpPr>
      </xdr:nvSpPr>
      <xdr:spPr bwMode="auto">
        <a:xfrm flipV="1">
          <a:off x="7964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30480</xdr:colOff>
      <xdr:row>53</xdr:row>
      <xdr:rowOff>152400</xdr:rowOff>
    </xdr:from>
    <xdr:to>
      <xdr:col>32</xdr:col>
      <xdr:colOff>220980</xdr:colOff>
      <xdr:row>54</xdr:row>
      <xdr:rowOff>38100</xdr:rowOff>
    </xdr:to>
    <xdr:sp macro="" textlink="">
      <xdr:nvSpPr>
        <xdr:cNvPr id="29" name="Line 3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ShapeType="1"/>
        </xdr:cNvSpPr>
      </xdr:nvSpPr>
      <xdr:spPr bwMode="auto">
        <a:xfrm flipV="1">
          <a:off x="8202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30480</xdr:colOff>
      <xdr:row>53</xdr:row>
      <xdr:rowOff>152400</xdr:rowOff>
    </xdr:from>
    <xdr:to>
      <xdr:col>33</xdr:col>
      <xdr:colOff>220980</xdr:colOff>
      <xdr:row>54</xdr:row>
      <xdr:rowOff>38100</xdr:rowOff>
    </xdr:to>
    <xdr:sp macro="" textlink="">
      <xdr:nvSpPr>
        <xdr:cNvPr id="30" name="Line 3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ShapeType="1"/>
        </xdr:cNvSpPr>
      </xdr:nvSpPr>
      <xdr:spPr bwMode="auto">
        <a:xfrm flipV="1">
          <a:off x="8441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30480</xdr:colOff>
      <xdr:row>53</xdr:row>
      <xdr:rowOff>152400</xdr:rowOff>
    </xdr:from>
    <xdr:to>
      <xdr:col>34</xdr:col>
      <xdr:colOff>220980</xdr:colOff>
      <xdr:row>54</xdr:row>
      <xdr:rowOff>38100</xdr:rowOff>
    </xdr:to>
    <xdr:sp macro="" textlink="">
      <xdr:nvSpPr>
        <xdr:cNvPr id="31" name="Line 4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ShapeType="1"/>
        </xdr:cNvSpPr>
      </xdr:nvSpPr>
      <xdr:spPr bwMode="auto">
        <a:xfrm flipV="1">
          <a:off x="8679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30480</xdr:colOff>
      <xdr:row>53</xdr:row>
      <xdr:rowOff>152400</xdr:rowOff>
    </xdr:from>
    <xdr:to>
      <xdr:col>35</xdr:col>
      <xdr:colOff>220980</xdr:colOff>
      <xdr:row>54</xdr:row>
      <xdr:rowOff>38100</xdr:rowOff>
    </xdr:to>
    <xdr:sp macro="" textlink="">
      <xdr:nvSpPr>
        <xdr:cNvPr id="32" name="Line 4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ShapeType="1"/>
        </xdr:cNvSpPr>
      </xdr:nvSpPr>
      <xdr:spPr bwMode="auto">
        <a:xfrm flipV="1">
          <a:off x="8917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30480</xdr:colOff>
      <xdr:row>53</xdr:row>
      <xdr:rowOff>152400</xdr:rowOff>
    </xdr:from>
    <xdr:to>
      <xdr:col>36</xdr:col>
      <xdr:colOff>220980</xdr:colOff>
      <xdr:row>54</xdr:row>
      <xdr:rowOff>38100</xdr:rowOff>
    </xdr:to>
    <xdr:sp macro="" textlink="">
      <xdr:nvSpPr>
        <xdr:cNvPr id="33" name="Line 4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ShapeType="1"/>
        </xdr:cNvSpPr>
      </xdr:nvSpPr>
      <xdr:spPr bwMode="auto">
        <a:xfrm flipV="1">
          <a:off x="9155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38100</xdr:colOff>
      <xdr:row>55</xdr:row>
      <xdr:rowOff>160020</xdr:rowOff>
    </xdr:from>
    <xdr:to>
      <xdr:col>14</xdr:col>
      <xdr:colOff>236220</xdr:colOff>
      <xdr:row>56</xdr:row>
      <xdr:rowOff>45720</xdr:rowOff>
    </xdr:to>
    <xdr:sp macro="" textlink="">
      <xdr:nvSpPr>
        <xdr:cNvPr id="34" name="Line 4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ShapeType="1"/>
        </xdr:cNvSpPr>
      </xdr:nvSpPr>
      <xdr:spPr bwMode="auto">
        <a:xfrm flipV="1">
          <a:off x="3924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38100</xdr:colOff>
      <xdr:row>55</xdr:row>
      <xdr:rowOff>160020</xdr:rowOff>
    </xdr:from>
    <xdr:to>
      <xdr:col>15</xdr:col>
      <xdr:colOff>236220</xdr:colOff>
      <xdr:row>56</xdr:row>
      <xdr:rowOff>45720</xdr:rowOff>
    </xdr:to>
    <xdr:sp macro="" textlink="">
      <xdr:nvSpPr>
        <xdr:cNvPr id="35" name="Line 4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ShapeType="1"/>
        </xdr:cNvSpPr>
      </xdr:nvSpPr>
      <xdr:spPr bwMode="auto">
        <a:xfrm flipV="1">
          <a:off x="4162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38100</xdr:colOff>
      <xdr:row>55</xdr:row>
      <xdr:rowOff>160020</xdr:rowOff>
    </xdr:from>
    <xdr:to>
      <xdr:col>16</xdr:col>
      <xdr:colOff>236220</xdr:colOff>
      <xdr:row>56</xdr:row>
      <xdr:rowOff>45720</xdr:rowOff>
    </xdr:to>
    <xdr:sp macro="" textlink="">
      <xdr:nvSpPr>
        <xdr:cNvPr id="36" name="Line 4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ShapeType="1"/>
        </xdr:cNvSpPr>
      </xdr:nvSpPr>
      <xdr:spPr bwMode="auto">
        <a:xfrm flipV="1">
          <a:off x="4400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38100</xdr:colOff>
      <xdr:row>55</xdr:row>
      <xdr:rowOff>160020</xdr:rowOff>
    </xdr:from>
    <xdr:to>
      <xdr:col>17</xdr:col>
      <xdr:colOff>236220</xdr:colOff>
      <xdr:row>56</xdr:row>
      <xdr:rowOff>45720</xdr:rowOff>
    </xdr:to>
    <xdr:sp macro="" textlink="">
      <xdr:nvSpPr>
        <xdr:cNvPr id="37" name="Line 4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ShapeType="1"/>
        </xdr:cNvSpPr>
      </xdr:nvSpPr>
      <xdr:spPr bwMode="auto">
        <a:xfrm flipV="1">
          <a:off x="4638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38100</xdr:colOff>
      <xdr:row>55</xdr:row>
      <xdr:rowOff>160020</xdr:rowOff>
    </xdr:from>
    <xdr:to>
      <xdr:col>18</xdr:col>
      <xdr:colOff>236220</xdr:colOff>
      <xdr:row>56</xdr:row>
      <xdr:rowOff>45720</xdr:rowOff>
    </xdr:to>
    <xdr:sp macro="" textlink="">
      <xdr:nvSpPr>
        <xdr:cNvPr id="38" name="Line 4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ShapeType="1"/>
        </xdr:cNvSpPr>
      </xdr:nvSpPr>
      <xdr:spPr bwMode="auto">
        <a:xfrm flipV="1">
          <a:off x="4876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38100</xdr:colOff>
      <xdr:row>55</xdr:row>
      <xdr:rowOff>160020</xdr:rowOff>
    </xdr:from>
    <xdr:to>
      <xdr:col>19</xdr:col>
      <xdr:colOff>236220</xdr:colOff>
      <xdr:row>56</xdr:row>
      <xdr:rowOff>45720</xdr:rowOff>
    </xdr:to>
    <xdr:sp macro="" textlink="">
      <xdr:nvSpPr>
        <xdr:cNvPr id="39" name="Line 4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ShapeType="1"/>
        </xdr:cNvSpPr>
      </xdr:nvSpPr>
      <xdr:spPr bwMode="auto">
        <a:xfrm flipV="1">
          <a:off x="5114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38100</xdr:colOff>
      <xdr:row>55</xdr:row>
      <xdr:rowOff>160020</xdr:rowOff>
    </xdr:from>
    <xdr:to>
      <xdr:col>20</xdr:col>
      <xdr:colOff>236220</xdr:colOff>
      <xdr:row>56</xdr:row>
      <xdr:rowOff>45720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ShapeType="1"/>
        </xdr:cNvSpPr>
      </xdr:nvSpPr>
      <xdr:spPr bwMode="auto">
        <a:xfrm flipV="1">
          <a:off x="5353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38100</xdr:colOff>
      <xdr:row>55</xdr:row>
      <xdr:rowOff>160020</xdr:rowOff>
    </xdr:from>
    <xdr:to>
      <xdr:col>21</xdr:col>
      <xdr:colOff>236220</xdr:colOff>
      <xdr:row>56</xdr:row>
      <xdr:rowOff>45720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ShapeType="1"/>
        </xdr:cNvSpPr>
      </xdr:nvSpPr>
      <xdr:spPr bwMode="auto">
        <a:xfrm flipV="1">
          <a:off x="55911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38100</xdr:colOff>
      <xdr:row>55</xdr:row>
      <xdr:rowOff>160020</xdr:rowOff>
    </xdr:from>
    <xdr:to>
      <xdr:col>22</xdr:col>
      <xdr:colOff>236220</xdr:colOff>
      <xdr:row>56</xdr:row>
      <xdr:rowOff>45720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ShapeType="1"/>
        </xdr:cNvSpPr>
      </xdr:nvSpPr>
      <xdr:spPr bwMode="auto">
        <a:xfrm flipV="1">
          <a:off x="5829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38100</xdr:colOff>
      <xdr:row>55</xdr:row>
      <xdr:rowOff>160020</xdr:rowOff>
    </xdr:from>
    <xdr:to>
      <xdr:col>23</xdr:col>
      <xdr:colOff>236220</xdr:colOff>
      <xdr:row>56</xdr:row>
      <xdr:rowOff>45720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ShapeType="1"/>
        </xdr:cNvSpPr>
      </xdr:nvSpPr>
      <xdr:spPr bwMode="auto">
        <a:xfrm flipV="1">
          <a:off x="6067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38100</xdr:colOff>
      <xdr:row>55</xdr:row>
      <xdr:rowOff>160020</xdr:rowOff>
    </xdr:from>
    <xdr:to>
      <xdr:col>24</xdr:col>
      <xdr:colOff>236220</xdr:colOff>
      <xdr:row>56</xdr:row>
      <xdr:rowOff>45720</xdr:rowOff>
    </xdr:to>
    <xdr:sp macro="" textlink="">
      <xdr:nvSpPr>
        <xdr:cNvPr id="44" name="Line 5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ShapeType="1"/>
        </xdr:cNvSpPr>
      </xdr:nvSpPr>
      <xdr:spPr bwMode="auto">
        <a:xfrm flipV="1">
          <a:off x="6305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38100</xdr:colOff>
      <xdr:row>55</xdr:row>
      <xdr:rowOff>160020</xdr:rowOff>
    </xdr:from>
    <xdr:to>
      <xdr:col>25</xdr:col>
      <xdr:colOff>236220</xdr:colOff>
      <xdr:row>56</xdr:row>
      <xdr:rowOff>45720</xdr:rowOff>
    </xdr:to>
    <xdr:sp macro="" textlink="">
      <xdr:nvSpPr>
        <xdr:cNvPr id="45" name="Line 5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ShapeType="1"/>
        </xdr:cNvSpPr>
      </xdr:nvSpPr>
      <xdr:spPr bwMode="auto">
        <a:xfrm flipV="1">
          <a:off x="6543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38100</xdr:colOff>
      <xdr:row>55</xdr:row>
      <xdr:rowOff>160020</xdr:rowOff>
    </xdr:from>
    <xdr:to>
      <xdr:col>26</xdr:col>
      <xdr:colOff>236220</xdr:colOff>
      <xdr:row>56</xdr:row>
      <xdr:rowOff>45720</xdr:rowOff>
    </xdr:to>
    <xdr:sp macro="" textlink="">
      <xdr:nvSpPr>
        <xdr:cNvPr id="46" name="Line 5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ShapeType="1"/>
        </xdr:cNvSpPr>
      </xdr:nvSpPr>
      <xdr:spPr bwMode="auto">
        <a:xfrm flipV="1">
          <a:off x="6781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38100</xdr:colOff>
      <xdr:row>55</xdr:row>
      <xdr:rowOff>160020</xdr:rowOff>
    </xdr:from>
    <xdr:to>
      <xdr:col>27</xdr:col>
      <xdr:colOff>236220</xdr:colOff>
      <xdr:row>56</xdr:row>
      <xdr:rowOff>45720</xdr:rowOff>
    </xdr:to>
    <xdr:sp macro="" textlink="">
      <xdr:nvSpPr>
        <xdr:cNvPr id="47" name="Line 5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ShapeType="1"/>
        </xdr:cNvSpPr>
      </xdr:nvSpPr>
      <xdr:spPr bwMode="auto">
        <a:xfrm flipV="1">
          <a:off x="7019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38100</xdr:colOff>
      <xdr:row>55</xdr:row>
      <xdr:rowOff>160020</xdr:rowOff>
    </xdr:from>
    <xdr:to>
      <xdr:col>28</xdr:col>
      <xdr:colOff>236220</xdr:colOff>
      <xdr:row>56</xdr:row>
      <xdr:rowOff>45720</xdr:rowOff>
    </xdr:to>
    <xdr:sp macro="" textlink="">
      <xdr:nvSpPr>
        <xdr:cNvPr id="48" name="Line 5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ShapeType="1"/>
        </xdr:cNvSpPr>
      </xdr:nvSpPr>
      <xdr:spPr bwMode="auto">
        <a:xfrm flipV="1">
          <a:off x="7258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38100</xdr:colOff>
      <xdr:row>55</xdr:row>
      <xdr:rowOff>160020</xdr:rowOff>
    </xdr:from>
    <xdr:to>
      <xdr:col>29</xdr:col>
      <xdr:colOff>236220</xdr:colOff>
      <xdr:row>56</xdr:row>
      <xdr:rowOff>45720</xdr:rowOff>
    </xdr:to>
    <xdr:sp macro="" textlink="">
      <xdr:nvSpPr>
        <xdr:cNvPr id="49" name="Line 5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ShapeType="1"/>
        </xdr:cNvSpPr>
      </xdr:nvSpPr>
      <xdr:spPr bwMode="auto">
        <a:xfrm flipV="1">
          <a:off x="74961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38100</xdr:colOff>
      <xdr:row>55</xdr:row>
      <xdr:rowOff>160020</xdr:rowOff>
    </xdr:from>
    <xdr:to>
      <xdr:col>30</xdr:col>
      <xdr:colOff>236220</xdr:colOff>
      <xdr:row>56</xdr:row>
      <xdr:rowOff>45720</xdr:rowOff>
    </xdr:to>
    <xdr:sp macro="" textlink="">
      <xdr:nvSpPr>
        <xdr:cNvPr id="50" name="Line 5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ShapeType="1"/>
        </xdr:cNvSpPr>
      </xdr:nvSpPr>
      <xdr:spPr bwMode="auto">
        <a:xfrm flipV="1">
          <a:off x="7734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38100</xdr:colOff>
      <xdr:row>55</xdr:row>
      <xdr:rowOff>160020</xdr:rowOff>
    </xdr:from>
    <xdr:to>
      <xdr:col>31</xdr:col>
      <xdr:colOff>236220</xdr:colOff>
      <xdr:row>56</xdr:row>
      <xdr:rowOff>45720</xdr:rowOff>
    </xdr:to>
    <xdr:sp macro="" textlink="">
      <xdr:nvSpPr>
        <xdr:cNvPr id="51" name="Line 6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ShapeType="1"/>
        </xdr:cNvSpPr>
      </xdr:nvSpPr>
      <xdr:spPr bwMode="auto">
        <a:xfrm flipV="1">
          <a:off x="7972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38100</xdr:colOff>
      <xdr:row>55</xdr:row>
      <xdr:rowOff>160020</xdr:rowOff>
    </xdr:from>
    <xdr:to>
      <xdr:col>32</xdr:col>
      <xdr:colOff>236220</xdr:colOff>
      <xdr:row>56</xdr:row>
      <xdr:rowOff>45720</xdr:rowOff>
    </xdr:to>
    <xdr:sp macro="" textlink="">
      <xdr:nvSpPr>
        <xdr:cNvPr id="52" name="Line 6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ShapeType="1"/>
        </xdr:cNvSpPr>
      </xdr:nvSpPr>
      <xdr:spPr bwMode="auto">
        <a:xfrm flipV="1">
          <a:off x="8210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38100</xdr:colOff>
      <xdr:row>55</xdr:row>
      <xdr:rowOff>160020</xdr:rowOff>
    </xdr:from>
    <xdr:to>
      <xdr:col>33</xdr:col>
      <xdr:colOff>236220</xdr:colOff>
      <xdr:row>56</xdr:row>
      <xdr:rowOff>45720</xdr:rowOff>
    </xdr:to>
    <xdr:sp macro="" textlink="">
      <xdr:nvSpPr>
        <xdr:cNvPr id="53" name="Line 6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ShapeType="1"/>
        </xdr:cNvSpPr>
      </xdr:nvSpPr>
      <xdr:spPr bwMode="auto">
        <a:xfrm flipV="1">
          <a:off x="8448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38100</xdr:colOff>
      <xdr:row>55</xdr:row>
      <xdr:rowOff>160020</xdr:rowOff>
    </xdr:from>
    <xdr:to>
      <xdr:col>34</xdr:col>
      <xdr:colOff>236220</xdr:colOff>
      <xdr:row>56</xdr:row>
      <xdr:rowOff>45720</xdr:rowOff>
    </xdr:to>
    <xdr:sp macro="" textlink="">
      <xdr:nvSpPr>
        <xdr:cNvPr id="54" name="Line 6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ShapeType="1"/>
        </xdr:cNvSpPr>
      </xdr:nvSpPr>
      <xdr:spPr bwMode="auto">
        <a:xfrm flipV="1">
          <a:off x="8686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38100</xdr:colOff>
      <xdr:row>55</xdr:row>
      <xdr:rowOff>160020</xdr:rowOff>
    </xdr:from>
    <xdr:to>
      <xdr:col>35</xdr:col>
      <xdr:colOff>236220</xdr:colOff>
      <xdr:row>56</xdr:row>
      <xdr:rowOff>45720</xdr:rowOff>
    </xdr:to>
    <xdr:sp macro="" textlink="">
      <xdr:nvSpPr>
        <xdr:cNvPr id="55" name="Line 6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ShapeType="1"/>
        </xdr:cNvSpPr>
      </xdr:nvSpPr>
      <xdr:spPr bwMode="auto">
        <a:xfrm flipV="1">
          <a:off x="8924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38100</xdr:colOff>
      <xdr:row>55</xdr:row>
      <xdr:rowOff>160020</xdr:rowOff>
    </xdr:from>
    <xdr:to>
      <xdr:col>36</xdr:col>
      <xdr:colOff>236220</xdr:colOff>
      <xdr:row>56</xdr:row>
      <xdr:rowOff>45720</xdr:rowOff>
    </xdr:to>
    <xdr:sp macro="" textlink="">
      <xdr:nvSpPr>
        <xdr:cNvPr id="56" name="Line 6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ShapeType="1"/>
        </xdr:cNvSpPr>
      </xdr:nvSpPr>
      <xdr:spPr bwMode="auto">
        <a:xfrm flipV="1">
          <a:off x="9163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65</xdr:row>
          <xdr:rowOff>114300</xdr:rowOff>
        </xdr:from>
        <xdr:to>
          <xdr:col>5</xdr:col>
          <xdr:colOff>142875</xdr:colOff>
          <xdr:row>67</xdr:row>
          <xdr:rowOff>114300</xdr:rowOff>
        </xdr:to>
        <xdr:sp macro="" textlink="">
          <xdr:nvSpPr>
            <xdr:cNvPr id="364545" name="Button 1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05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製図確認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762000</xdr:rowOff>
        </xdr:from>
        <xdr:to>
          <xdr:col>13</xdr:col>
          <xdr:colOff>476250</xdr:colOff>
          <xdr:row>1</xdr:row>
          <xdr:rowOff>1066800</xdr:rowOff>
        </xdr:to>
        <xdr:sp macro="" textlink="">
          <xdr:nvSpPr>
            <xdr:cNvPr id="364546" name="Button 2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05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○書き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419100</xdr:rowOff>
        </xdr:from>
        <xdr:to>
          <xdr:col>13</xdr:col>
          <xdr:colOff>476250</xdr:colOff>
          <xdr:row>1</xdr:row>
          <xdr:rowOff>723900</xdr:rowOff>
        </xdr:to>
        <xdr:sp macro="" textlink="">
          <xdr:nvSpPr>
            <xdr:cNvPr id="364547" name="Button 3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05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1000125</xdr:rowOff>
        </xdr:from>
        <xdr:to>
          <xdr:col>4</xdr:col>
          <xdr:colOff>133350</xdr:colOff>
          <xdr:row>1</xdr:row>
          <xdr:rowOff>1352550</xdr:rowOff>
        </xdr:to>
        <xdr:sp macro="" textlink="">
          <xdr:nvSpPr>
            <xdr:cNvPr id="364548" name="Button 4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05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標準明朝"/>
                  <a:ea typeface="標準明朝"/>
                </a:rPr>
                <a:t>範囲罫線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</xdr:row>
          <xdr:rowOff>1257300</xdr:rowOff>
        </xdr:from>
        <xdr:to>
          <xdr:col>12</xdr:col>
          <xdr:colOff>38100</xdr:colOff>
          <xdr:row>1</xdr:row>
          <xdr:rowOff>1524000</xdr:rowOff>
        </xdr:to>
        <xdr:sp macro="" textlink="">
          <xdr:nvSpPr>
            <xdr:cNvPr id="364549" name="Button 5" hidden="1">
              <a:extLst>
                <a:ext uri="{63B3BB69-23CF-44E3-9099-C40C66FF867C}">
                  <a14:compatExt spid="_x0000_s364549"/>
                </a:ext>
                <a:ext uri="{FF2B5EF4-FFF2-40B4-BE49-F238E27FC236}">
                  <a16:creationId xmlns:a16="http://schemas.microsoft.com/office/drawing/2014/main" id="{00000000-0008-0000-0500-000005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</xdr:row>
          <xdr:rowOff>1257300</xdr:rowOff>
        </xdr:from>
        <xdr:to>
          <xdr:col>13</xdr:col>
          <xdr:colOff>142875</xdr:colOff>
          <xdr:row>1</xdr:row>
          <xdr:rowOff>1524000</xdr:rowOff>
        </xdr:to>
        <xdr:sp macro="" textlink="">
          <xdr:nvSpPr>
            <xdr:cNvPr id="364550" name="Button 6" hidden="1">
              <a:extLst>
                <a:ext uri="{63B3BB69-23CF-44E3-9099-C40C66FF867C}">
                  <a14:compatExt spid="_x0000_s364550"/>
                </a:ext>
                <a:ext uri="{FF2B5EF4-FFF2-40B4-BE49-F238E27FC236}">
                  <a16:creationId xmlns:a16="http://schemas.microsoft.com/office/drawing/2014/main" id="{00000000-0008-0000-0500-000006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</xdr:row>
          <xdr:rowOff>1257300</xdr:rowOff>
        </xdr:from>
        <xdr:to>
          <xdr:col>13</xdr:col>
          <xdr:colOff>485775</xdr:colOff>
          <xdr:row>1</xdr:row>
          <xdr:rowOff>1524000</xdr:rowOff>
        </xdr:to>
        <xdr:sp macro="" textlink="">
          <xdr:nvSpPr>
            <xdr:cNvPr id="364551" name="Button 7" hidden="1">
              <a:extLst>
                <a:ext uri="{63B3BB69-23CF-44E3-9099-C40C66FF867C}">
                  <a14:compatExt spid="_x0000_s364551"/>
                </a:ext>
                <a:ext uri="{FF2B5EF4-FFF2-40B4-BE49-F238E27FC236}">
                  <a16:creationId xmlns:a16="http://schemas.microsoft.com/office/drawing/2014/main" id="{00000000-0008-0000-0500-000007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1257300</xdr:rowOff>
        </xdr:from>
        <xdr:to>
          <xdr:col>10</xdr:col>
          <xdr:colOff>200025</xdr:colOff>
          <xdr:row>1</xdr:row>
          <xdr:rowOff>1524000</xdr:rowOff>
        </xdr:to>
        <xdr:sp macro="" textlink="">
          <xdr:nvSpPr>
            <xdr:cNvPr id="364552" name="Button 8" hidden="1">
              <a:extLst>
                <a:ext uri="{63B3BB69-23CF-44E3-9099-C40C66FF867C}">
                  <a14:compatExt spid="_x0000_s364552"/>
                </a:ext>
                <a:ext uri="{FF2B5EF4-FFF2-40B4-BE49-F238E27FC236}">
                  <a16:creationId xmlns:a16="http://schemas.microsoft.com/office/drawing/2014/main" id="{00000000-0008-0000-0500-000008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Ｎ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190500</xdr:colOff>
      <xdr:row>16</xdr:row>
      <xdr:rowOff>9525</xdr:rowOff>
    </xdr:from>
    <xdr:to>
      <xdr:col>59</xdr:col>
      <xdr:colOff>104775</xdr:colOff>
      <xdr:row>17</xdr:row>
      <xdr:rowOff>190499</xdr:rowOff>
    </xdr:to>
    <xdr:sp macro="" textlink="">
      <xdr:nvSpPr>
        <xdr:cNvPr id="65" name="正方形/長方形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9553575" y="4895850"/>
          <a:ext cx="5153025" cy="371474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ja-JP" altLang="en-US" sz="1100"/>
            <a:t>全返品、一部返品のみの場合は「出荷指示」対象外になるので、テスト実施しない</a:t>
          </a:r>
          <a:endParaRPr kumimoji="1" lang="en-US" altLang="ja-JP" sz="1100"/>
        </a:p>
      </xdr:txBody>
    </xdr:sp>
    <xdr:clientData/>
  </xdr:twoCellAnchor>
  <xdr:twoCellAnchor>
    <xdr:from>
      <xdr:col>38</xdr:col>
      <xdr:colOff>66675</xdr:colOff>
      <xdr:row>22</xdr:row>
      <xdr:rowOff>95250</xdr:rowOff>
    </xdr:from>
    <xdr:to>
      <xdr:col>53</xdr:col>
      <xdr:colOff>219075</xdr:colOff>
      <xdr:row>25</xdr:row>
      <xdr:rowOff>28575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9667875" y="6705600"/>
          <a:ext cx="3724275" cy="5048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ja-JP" altLang="en-US" sz="1100"/>
            <a:t>計算方法に問題無いことを確認しながらテスト実施する</a:t>
          </a:r>
          <a:endParaRPr kumimoji="1" lang="en-US" altLang="ja-JP" sz="1100"/>
        </a:p>
        <a:p>
          <a:pPr algn="l"/>
          <a:r>
            <a:rPr kumimoji="1" lang="en-US" altLang="ja-JP" sz="1100"/>
            <a:t>(</a:t>
          </a:r>
          <a:r>
            <a:rPr kumimoji="1" lang="ja-JP" altLang="en-US" sz="1100"/>
            <a:t>計算方法は、設計書を参考にする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37</xdr:col>
      <xdr:colOff>228600</xdr:colOff>
      <xdr:row>26</xdr:row>
      <xdr:rowOff>171450</xdr:rowOff>
    </xdr:from>
    <xdr:to>
      <xdr:col>57</xdr:col>
      <xdr:colOff>209550</xdr:colOff>
      <xdr:row>30</xdr:row>
      <xdr:rowOff>0</xdr:rowOff>
    </xdr:to>
    <xdr:sp macro="" textlink="">
      <xdr:nvSpPr>
        <xdr:cNvPr id="67" name="正方形/長方形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9591675" y="7353300"/>
          <a:ext cx="4743450" cy="6953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en-US" altLang="ja-JP" sz="1100"/>
            <a:t>CCL</a:t>
          </a:r>
          <a:r>
            <a:rPr kumimoji="1" lang="ja-JP" altLang="en-US" sz="1100"/>
            <a:t>作成者の想定では以下の様な挙動</a:t>
          </a:r>
          <a:endParaRPr kumimoji="1" lang="en-US" altLang="ja-JP" sz="1100"/>
        </a:p>
        <a:p>
          <a:pPr algn="l"/>
          <a:r>
            <a:rPr kumimoji="1" lang="ja-JP" altLang="en-US" sz="1100"/>
            <a:t>一致：</a:t>
          </a:r>
          <a:r>
            <a:rPr kumimoji="1" lang="en-US" altLang="ja-JP" sz="1100"/>
            <a:t>RMS</a:t>
          </a:r>
          <a:r>
            <a:rPr kumimoji="1" lang="ja-JP" altLang="en-US" sz="1100"/>
            <a:t>側でキャンセル申請を行わなずに、チェック実施</a:t>
          </a:r>
          <a:endParaRPr kumimoji="1" lang="en-US" altLang="ja-JP" sz="1100"/>
        </a:p>
        <a:p>
          <a:pPr algn="l"/>
          <a:r>
            <a:rPr kumimoji="1" lang="ja-JP" altLang="en-US" sz="1100"/>
            <a:t>不一致：</a:t>
          </a:r>
          <a:r>
            <a:rPr kumimoji="1" lang="en-US" altLang="ja-JP" sz="1100"/>
            <a:t>RMS</a:t>
          </a:r>
          <a:r>
            <a:rPr kumimoji="1" lang="ja-JP" altLang="en-US" sz="1100"/>
            <a:t>側で誤ってキャンセル申請を行って、チェック実施</a:t>
          </a:r>
          <a:endParaRPr kumimoji="1" lang="en-US" altLang="ja-JP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51</xdr:row>
      <xdr:rowOff>9525</xdr:rowOff>
    </xdr:from>
    <xdr:to>
      <xdr:col>14</xdr:col>
      <xdr:colOff>9525</xdr:colOff>
      <xdr:row>53</xdr:row>
      <xdr:rowOff>0</xdr:rowOff>
    </xdr:to>
    <xdr:sp macro="" textlink="">
      <xdr:nvSpPr>
        <xdr:cNvPr id="2" name="テキスト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2152650" y="11934825"/>
          <a:ext cx="1743075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テスト仕様書番号</a:t>
          </a: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13</xdr:col>
      <xdr:colOff>0</xdr:colOff>
      <xdr:row>57</xdr:row>
      <xdr:rowOff>0</xdr:rowOff>
    </xdr:to>
    <xdr:sp macro="" textlink="">
      <xdr:nvSpPr>
        <xdr:cNvPr id="3" name="テキスト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2143125" y="12306300"/>
          <a:ext cx="952500" cy="762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確認日</a:t>
          </a:r>
        </a:p>
      </xdr:txBody>
    </xdr:sp>
    <xdr:clientData/>
  </xdr:twoCellAnchor>
  <xdr:twoCellAnchor>
    <xdr:from>
      <xdr:col>0</xdr:col>
      <xdr:colOff>0</xdr:colOff>
      <xdr:row>51</xdr:row>
      <xdr:rowOff>0</xdr:rowOff>
    </xdr:from>
    <xdr:to>
      <xdr:col>2</xdr:col>
      <xdr:colOff>219075</xdr:colOff>
      <xdr:row>54</xdr:row>
      <xdr:rowOff>180975</xdr:rowOff>
    </xdr:to>
    <xdr:sp macro="" textlink="">
      <xdr:nvSpPr>
        <xdr:cNvPr id="4" name="テキスト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0" y="11925300"/>
          <a:ext cx="695325" cy="752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ﾀｲﾄﾙ</a:t>
          </a:r>
        </a:p>
      </xdr:txBody>
    </xdr:sp>
    <xdr:clientData/>
  </xdr:twoCellAnchor>
  <xdr:twoCellAnchor>
    <xdr:from>
      <xdr:col>13</xdr:col>
      <xdr:colOff>0</xdr:colOff>
      <xdr:row>53</xdr:row>
      <xdr:rowOff>0</xdr:rowOff>
    </xdr:from>
    <xdr:to>
      <xdr:col>14</xdr:col>
      <xdr:colOff>0</xdr:colOff>
      <xdr:row>55</xdr:row>
      <xdr:rowOff>0</xdr:rowOff>
    </xdr:to>
    <xdr:sp macro="" textlink="">
      <xdr:nvSpPr>
        <xdr:cNvPr id="5" name="テキスト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/>
        </xdr:cNvSpPr>
      </xdr:nvSpPr>
      <xdr:spPr bwMode="auto">
        <a:xfrm>
          <a:off x="3095625" y="12306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机上</a:t>
          </a:r>
        </a:p>
      </xdr:txBody>
    </xdr:sp>
    <xdr:clientData/>
  </xdr:twoCellAnchor>
  <xdr:twoCellAnchor>
    <xdr:from>
      <xdr:col>13</xdr:col>
      <xdr:colOff>0</xdr:colOff>
      <xdr:row>55</xdr:row>
      <xdr:rowOff>0</xdr:rowOff>
    </xdr:from>
    <xdr:to>
      <xdr:col>14</xdr:col>
      <xdr:colOff>0</xdr:colOff>
      <xdr:row>57</xdr:row>
      <xdr:rowOff>0</xdr:rowOff>
    </xdr:to>
    <xdr:sp macro="" textlink="">
      <xdr:nvSpPr>
        <xdr:cNvPr id="6" name="テキスト 6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>
          <a:spLocks noChangeArrowheads="1"/>
        </xdr:cNvSpPr>
      </xdr:nvSpPr>
      <xdr:spPr bwMode="auto">
        <a:xfrm>
          <a:off x="3095625" y="12687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マシン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13</xdr:col>
      <xdr:colOff>792480</xdr:colOff>
      <xdr:row>1</xdr:row>
      <xdr:rowOff>1706880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ShapeType="1"/>
        </xdr:cNvSpPr>
      </xdr:nvSpPr>
      <xdr:spPr bwMode="auto">
        <a:xfrm>
          <a:off x="0" y="314325"/>
          <a:ext cx="3888105" cy="170688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95250</xdr:colOff>
      <xdr:row>1</xdr:row>
      <xdr:rowOff>1419225</xdr:rowOff>
    </xdr:from>
    <xdr:to>
      <xdr:col>12</xdr:col>
      <xdr:colOff>152400</xdr:colOff>
      <xdr:row>1</xdr:row>
      <xdr:rowOff>1676400</xdr:rowOff>
    </xdr:to>
    <xdr:sp macro="" textlink="">
      <xdr:nvSpPr>
        <xdr:cNvPr id="8" name="テキスト 1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>
          <a:spLocks noChangeArrowheads="1"/>
        </xdr:cNvSpPr>
      </xdr:nvSpPr>
      <xdr:spPr bwMode="auto">
        <a:xfrm>
          <a:off x="95250" y="1733550"/>
          <a:ext cx="2914650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チェック条件／確認内容</a:t>
          </a:r>
        </a:p>
      </xdr:txBody>
    </xdr:sp>
    <xdr:clientData/>
  </xdr:twoCellAnchor>
  <xdr:twoCellAnchor>
    <xdr:from>
      <xdr:col>9</xdr:col>
      <xdr:colOff>76200</xdr:colOff>
      <xdr:row>1</xdr:row>
      <xdr:rowOff>123825</xdr:rowOff>
    </xdr:from>
    <xdr:to>
      <xdr:col>13</xdr:col>
      <xdr:colOff>653396</xdr:colOff>
      <xdr:row>1</xdr:row>
      <xdr:rowOff>333375</xdr:rowOff>
    </xdr:to>
    <xdr:sp macro="" textlink="">
      <xdr:nvSpPr>
        <xdr:cNvPr id="9" name="テキスト 12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>
          <a:spLocks noChangeArrowheads="1"/>
        </xdr:cNvSpPr>
      </xdr:nvSpPr>
      <xdr:spPr bwMode="auto">
        <a:xfrm>
          <a:off x="2219325" y="438150"/>
          <a:ext cx="1529696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チェックＩＤ</a:t>
          </a:r>
        </a:p>
      </xdr:txBody>
    </xdr:sp>
    <xdr:clientData/>
  </xdr:twoCellAnchor>
  <xdr:twoCellAnchor>
    <xdr:from>
      <xdr:col>28</xdr:col>
      <xdr:colOff>182880</xdr:colOff>
      <xdr:row>62</xdr:row>
      <xdr:rowOff>106680</xdr:rowOff>
    </xdr:from>
    <xdr:to>
      <xdr:col>29</xdr:col>
      <xdr:colOff>144780</xdr:colOff>
      <xdr:row>64</xdr:row>
      <xdr:rowOff>121920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ShapeType="1"/>
        </xdr:cNvSpPr>
      </xdr:nvSpPr>
      <xdr:spPr bwMode="auto">
        <a:xfrm flipV="1">
          <a:off x="7402830" y="14127480"/>
          <a:ext cx="200025" cy="3962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30480</xdr:colOff>
      <xdr:row>53</xdr:row>
      <xdr:rowOff>152400</xdr:rowOff>
    </xdr:from>
    <xdr:to>
      <xdr:col>14</xdr:col>
      <xdr:colOff>220980</xdr:colOff>
      <xdr:row>54</xdr:row>
      <xdr:rowOff>38100</xdr:rowOff>
    </xdr:to>
    <xdr:sp macro="" textlink="">
      <xdr:nvSpPr>
        <xdr:cNvPr id="11" name="Line 2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ShapeType="1"/>
        </xdr:cNvSpPr>
      </xdr:nvSpPr>
      <xdr:spPr bwMode="auto">
        <a:xfrm flipV="1">
          <a:off x="3916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30480</xdr:colOff>
      <xdr:row>53</xdr:row>
      <xdr:rowOff>152400</xdr:rowOff>
    </xdr:from>
    <xdr:to>
      <xdr:col>15</xdr:col>
      <xdr:colOff>220980</xdr:colOff>
      <xdr:row>54</xdr:row>
      <xdr:rowOff>38100</xdr:rowOff>
    </xdr:to>
    <xdr:sp macro="" textlink="">
      <xdr:nvSpPr>
        <xdr:cNvPr id="12" name="Line 2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V="1">
          <a:off x="4154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30480</xdr:colOff>
      <xdr:row>53</xdr:row>
      <xdr:rowOff>152400</xdr:rowOff>
    </xdr:from>
    <xdr:to>
      <xdr:col>16</xdr:col>
      <xdr:colOff>220980</xdr:colOff>
      <xdr:row>54</xdr:row>
      <xdr:rowOff>38100</xdr:rowOff>
    </xdr:to>
    <xdr:sp macro="" textlink="">
      <xdr:nvSpPr>
        <xdr:cNvPr id="13" name="Line 2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V="1">
          <a:off x="4392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30480</xdr:colOff>
      <xdr:row>53</xdr:row>
      <xdr:rowOff>152400</xdr:rowOff>
    </xdr:from>
    <xdr:to>
      <xdr:col>17</xdr:col>
      <xdr:colOff>220980</xdr:colOff>
      <xdr:row>54</xdr:row>
      <xdr:rowOff>38100</xdr:rowOff>
    </xdr:to>
    <xdr:sp macro="" textlink="">
      <xdr:nvSpPr>
        <xdr:cNvPr id="14" name="Line 2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ShapeType="1"/>
        </xdr:cNvSpPr>
      </xdr:nvSpPr>
      <xdr:spPr bwMode="auto">
        <a:xfrm flipV="1">
          <a:off x="4631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30480</xdr:colOff>
      <xdr:row>53</xdr:row>
      <xdr:rowOff>152400</xdr:rowOff>
    </xdr:from>
    <xdr:to>
      <xdr:col>18</xdr:col>
      <xdr:colOff>220980</xdr:colOff>
      <xdr:row>54</xdr:row>
      <xdr:rowOff>38100</xdr:rowOff>
    </xdr:to>
    <xdr:sp macro="" textlink="">
      <xdr:nvSpPr>
        <xdr:cNvPr id="15" name="Line 2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ShapeType="1"/>
        </xdr:cNvSpPr>
      </xdr:nvSpPr>
      <xdr:spPr bwMode="auto">
        <a:xfrm flipV="1">
          <a:off x="4869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30480</xdr:colOff>
      <xdr:row>53</xdr:row>
      <xdr:rowOff>152400</xdr:rowOff>
    </xdr:from>
    <xdr:to>
      <xdr:col>19</xdr:col>
      <xdr:colOff>220980</xdr:colOff>
      <xdr:row>54</xdr:row>
      <xdr:rowOff>38100</xdr:rowOff>
    </xdr:to>
    <xdr:sp macro="" textlink="">
      <xdr:nvSpPr>
        <xdr:cNvPr id="16" name="Line 2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ShapeType="1"/>
        </xdr:cNvSpPr>
      </xdr:nvSpPr>
      <xdr:spPr bwMode="auto">
        <a:xfrm flipV="1">
          <a:off x="5107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30480</xdr:colOff>
      <xdr:row>53</xdr:row>
      <xdr:rowOff>152400</xdr:rowOff>
    </xdr:from>
    <xdr:to>
      <xdr:col>20</xdr:col>
      <xdr:colOff>220980</xdr:colOff>
      <xdr:row>54</xdr:row>
      <xdr:rowOff>38100</xdr:rowOff>
    </xdr:to>
    <xdr:sp macro="" textlink="">
      <xdr:nvSpPr>
        <xdr:cNvPr id="17" name="Line 2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 flipV="1">
          <a:off x="5345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30480</xdr:colOff>
      <xdr:row>53</xdr:row>
      <xdr:rowOff>152400</xdr:rowOff>
    </xdr:from>
    <xdr:to>
      <xdr:col>21</xdr:col>
      <xdr:colOff>220980</xdr:colOff>
      <xdr:row>54</xdr:row>
      <xdr:rowOff>38100</xdr:rowOff>
    </xdr:to>
    <xdr:sp macro="" textlink="">
      <xdr:nvSpPr>
        <xdr:cNvPr id="18" name="Line 2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 flipV="1">
          <a:off x="55835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30480</xdr:colOff>
      <xdr:row>53</xdr:row>
      <xdr:rowOff>152400</xdr:rowOff>
    </xdr:from>
    <xdr:to>
      <xdr:col>22</xdr:col>
      <xdr:colOff>220980</xdr:colOff>
      <xdr:row>54</xdr:row>
      <xdr:rowOff>38100</xdr:rowOff>
    </xdr:to>
    <xdr:sp macro="" textlink="">
      <xdr:nvSpPr>
        <xdr:cNvPr id="19" name="Line 2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ShapeType="1"/>
        </xdr:cNvSpPr>
      </xdr:nvSpPr>
      <xdr:spPr bwMode="auto">
        <a:xfrm flipV="1">
          <a:off x="5821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30480</xdr:colOff>
      <xdr:row>53</xdr:row>
      <xdr:rowOff>152400</xdr:rowOff>
    </xdr:from>
    <xdr:to>
      <xdr:col>23</xdr:col>
      <xdr:colOff>220980</xdr:colOff>
      <xdr:row>54</xdr:row>
      <xdr:rowOff>38100</xdr:rowOff>
    </xdr:to>
    <xdr:sp macro="" textlink="">
      <xdr:nvSpPr>
        <xdr:cNvPr id="20" name="Line 2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6059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30480</xdr:colOff>
      <xdr:row>53</xdr:row>
      <xdr:rowOff>152400</xdr:rowOff>
    </xdr:from>
    <xdr:to>
      <xdr:col>24</xdr:col>
      <xdr:colOff>220980</xdr:colOff>
      <xdr:row>54</xdr:row>
      <xdr:rowOff>38100</xdr:rowOff>
    </xdr:to>
    <xdr:sp macro="" textlink="">
      <xdr:nvSpPr>
        <xdr:cNvPr id="21" name="Line 3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ShapeType="1"/>
        </xdr:cNvSpPr>
      </xdr:nvSpPr>
      <xdr:spPr bwMode="auto">
        <a:xfrm flipV="1">
          <a:off x="6297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30480</xdr:colOff>
      <xdr:row>53</xdr:row>
      <xdr:rowOff>152400</xdr:rowOff>
    </xdr:from>
    <xdr:to>
      <xdr:col>25</xdr:col>
      <xdr:colOff>220980</xdr:colOff>
      <xdr:row>54</xdr:row>
      <xdr:rowOff>38100</xdr:rowOff>
    </xdr:to>
    <xdr:sp macro="" textlink="">
      <xdr:nvSpPr>
        <xdr:cNvPr id="22" name="Line 3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V="1">
          <a:off x="6536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30480</xdr:colOff>
      <xdr:row>53</xdr:row>
      <xdr:rowOff>152400</xdr:rowOff>
    </xdr:from>
    <xdr:to>
      <xdr:col>26</xdr:col>
      <xdr:colOff>220980</xdr:colOff>
      <xdr:row>54</xdr:row>
      <xdr:rowOff>38100</xdr:rowOff>
    </xdr:to>
    <xdr:sp macro="" textlink="">
      <xdr:nvSpPr>
        <xdr:cNvPr id="23" name="Line 3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V="1">
          <a:off x="6774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30480</xdr:colOff>
      <xdr:row>53</xdr:row>
      <xdr:rowOff>152400</xdr:rowOff>
    </xdr:from>
    <xdr:to>
      <xdr:col>27</xdr:col>
      <xdr:colOff>220980</xdr:colOff>
      <xdr:row>54</xdr:row>
      <xdr:rowOff>38100</xdr:rowOff>
    </xdr:to>
    <xdr:sp macro="" textlink="">
      <xdr:nvSpPr>
        <xdr:cNvPr id="24" name="Line 3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7012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30480</xdr:colOff>
      <xdr:row>53</xdr:row>
      <xdr:rowOff>152400</xdr:rowOff>
    </xdr:from>
    <xdr:to>
      <xdr:col>28</xdr:col>
      <xdr:colOff>220980</xdr:colOff>
      <xdr:row>54</xdr:row>
      <xdr:rowOff>38100</xdr:rowOff>
    </xdr:to>
    <xdr:sp macro="" textlink="">
      <xdr:nvSpPr>
        <xdr:cNvPr id="25" name="Line 3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7250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30480</xdr:colOff>
      <xdr:row>53</xdr:row>
      <xdr:rowOff>152400</xdr:rowOff>
    </xdr:from>
    <xdr:to>
      <xdr:col>29</xdr:col>
      <xdr:colOff>220980</xdr:colOff>
      <xdr:row>54</xdr:row>
      <xdr:rowOff>38100</xdr:rowOff>
    </xdr:to>
    <xdr:sp macro="" textlink="">
      <xdr:nvSpPr>
        <xdr:cNvPr id="26" name="Line 3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flipV="1">
          <a:off x="74885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30480</xdr:colOff>
      <xdr:row>53</xdr:row>
      <xdr:rowOff>152400</xdr:rowOff>
    </xdr:from>
    <xdr:to>
      <xdr:col>30</xdr:col>
      <xdr:colOff>220980</xdr:colOff>
      <xdr:row>54</xdr:row>
      <xdr:rowOff>38100</xdr:rowOff>
    </xdr:to>
    <xdr:sp macro="" textlink="">
      <xdr:nvSpPr>
        <xdr:cNvPr id="27" name="Line 3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7726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30480</xdr:colOff>
      <xdr:row>53</xdr:row>
      <xdr:rowOff>152400</xdr:rowOff>
    </xdr:from>
    <xdr:to>
      <xdr:col>31</xdr:col>
      <xdr:colOff>220980</xdr:colOff>
      <xdr:row>54</xdr:row>
      <xdr:rowOff>38100</xdr:rowOff>
    </xdr:to>
    <xdr:sp macro="" textlink="">
      <xdr:nvSpPr>
        <xdr:cNvPr id="28" name="Line 3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ShapeType="1"/>
        </xdr:cNvSpPr>
      </xdr:nvSpPr>
      <xdr:spPr bwMode="auto">
        <a:xfrm flipV="1">
          <a:off x="7964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30480</xdr:colOff>
      <xdr:row>53</xdr:row>
      <xdr:rowOff>152400</xdr:rowOff>
    </xdr:from>
    <xdr:to>
      <xdr:col>32</xdr:col>
      <xdr:colOff>220980</xdr:colOff>
      <xdr:row>54</xdr:row>
      <xdr:rowOff>38100</xdr:rowOff>
    </xdr:to>
    <xdr:sp macro="" textlink="">
      <xdr:nvSpPr>
        <xdr:cNvPr id="29" name="Line 3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V="1">
          <a:off x="8202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30480</xdr:colOff>
      <xdr:row>53</xdr:row>
      <xdr:rowOff>152400</xdr:rowOff>
    </xdr:from>
    <xdr:to>
      <xdr:col>33</xdr:col>
      <xdr:colOff>220980</xdr:colOff>
      <xdr:row>54</xdr:row>
      <xdr:rowOff>38100</xdr:rowOff>
    </xdr:to>
    <xdr:sp macro="" textlink="">
      <xdr:nvSpPr>
        <xdr:cNvPr id="30" name="Line 3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 flipV="1">
          <a:off x="8441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30480</xdr:colOff>
      <xdr:row>53</xdr:row>
      <xdr:rowOff>152400</xdr:rowOff>
    </xdr:from>
    <xdr:to>
      <xdr:col>34</xdr:col>
      <xdr:colOff>220980</xdr:colOff>
      <xdr:row>54</xdr:row>
      <xdr:rowOff>38100</xdr:rowOff>
    </xdr:to>
    <xdr:sp macro="" textlink="">
      <xdr:nvSpPr>
        <xdr:cNvPr id="31" name="Line 4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V="1">
          <a:off x="8679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30480</xdr:colOff>
      <xdr:row>53</xdr:row>
      <xdr:rowOff>152400</xdr:rowOff>
    </xdr:from>
    <xdr:to>
      <xdr:col>35</xdr:col>
      <xdr:colOff>220980</xdr:colOff>
      <xdr:row>54</xdr:row>
      <xdr:rowOff>38100</xdr:rowOff>
    </xdr:to>
    <xdr:sp macro="" textlink="">
      <xdr:nvSpPr>
        <xdr:cNvPr id="32" name="Line 4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 flipV="1">
          <a:off x="8917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30480</xdr:colOff>
      <xdr:row>53</xdr:row>
      <xdr:rowOff>152400</xdr:rowOff>
    </xdr:from>
    <xdr:to>
      <xdr:col>36</xdr:col>
      <xdr:colOff>220980</xdr:colOff>
      <xdr:row>54</xdr:row>
      <xdr:rowOff>38100</xdr:rowOff>
    </xdr:to>
    <xdr:sp macro="" textlink="">
      <xdr:nvSpPr>
        <xdr:cNvPr id="33" name="Line 4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 flipV="1">
          <a:off x="9155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38100</xdr:colOff>
      <xdr:row>55</xdr:row>
      <xdr:rowOff>160020</xdr:rowOff>
    </xdr:from>
    <xdr:to>
      <xdr:col>14</xdr:col>
      <xdr:colOff>236220</xdr:colOff>
      <xdr:row>56</xdr:row>
      <xdr:rowOff>45720</xdr:rowOff>
    </xdr:to>
    <xdr:sp macro="" textlink="">
      <xdr:nvSpPr>
        <xdr:cNvPr id="34" name="Line 4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 flipV="1">
          <a:off x="3924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38100</xdr:colOff>
      <xdr:row>55</xdr:row>
      <xdr:rowOff>160020</xdr:rowOff>
    </xdr:from>
    <xdr:to>
      <xdr:col>15</xdr:col>
      <xdr:colOff>236220</xdr:colOff>
      <xdr:row>56</xdr:row>
      <xdr:rowOff>45720</xdr:rowOff>
    </xdr:to>
    <xdr:sp macro="" textlink="">
      <xdr:nvSpPr>
        <xdr:cNvPr id="35" name="Line 4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4162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38100</xdr:colOff>
      <xdr:row>55</xdr:row>
      <xdr:rowOff>160020</xdr:rowOff>
    </xdr:from>
    <xdr:to>
      <xdr:col>16</xdr:col>
      <xdr:colOff>236220</xdr:colOff>
      <xdr:row>56</xdr:row>
      <xdr:rowOff>45720</xdr:rowOff>
    </xdr:to>
    <xdr:sp macro="" textlink="">
      <xdr:nvSpPr>
        <xdr:cNvPr id="36" name="Line 4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4400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38100</xdr:colOff>
      <xdr:row>55</xdr:row>
      <xdr:rowOff>160020</xdr:rowOff>
    </xdr:from>
    <xdr:to>
      <xdr:col>17</xdr:col>
      <xdr:colOff>236220</xdr:colOff>
      <xdr:row>56</xdr:row>
      <xdr:rowOff>45720</xdr:rowOff>
    </xdr:to>
    <xdr:sp macro="" textlink="">
      <xdr:nvSpPr>
        <xdr:cNvPr id="37" name="Line 4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 flipV="1">
          <a:off x="4638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38100</xdr:colOff>
      <xdr:row>55</xdr:row>
      <xdr:rowOff>160020</xdr:rowOff>
    </xdr:from>
    <xdr:to>
      <xdr:col>18</xdr:col>
      <xdr:colOff>236220</xdr:colOff>
      <xdr:row>56</xdr:row>
      <xdr:rowOff>45720</xdr:rowOff>
    </xdr:to>
    <xdr:sp macro="" textlink="">
      <xdr:nvSpPr>
        <xdr:cNvPr id="38" name="Line 4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4876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38100</xdr:colOff>
      <xdr:row>55</xdr:row>
      <xdr:rowOff>160020</xdr:rowOff>
    </xdr:from>
    <xdr:to>
      <xdr:col>19</xdr:col>
      <xdr:colOff>236220</xdr:colOff>
      <xdr:row>56</xdr:row>
      <xdr:rowOff>45720</xdr:rowOff>
    </xdr:to>
    <xdr:sp macro="" textlink="">
      <xdr:nvSpPr>
        <xdr:cNvPr id="39" name="Line 4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 flipV="1">
          <a:off x="5114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38100</xdr:colOff>
      <xdr:row>55</xdr:row>
      <xdr:rowOff>160020</xdr:rowOff>
    </xdr:from>
    <xdr:to>
      <xdr:col>20</xdr:col>
      <xdr:colOff>236220</xdr:colOff>
      <xdr:row>56</xdr:row>
      <xdr:rowOff>45720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flipV="1">
          <a:off x="5353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38100</xdr:colOff>
      <xdr:row>55</xdr:row>
      <xdr:rowOff>160020</xdr:rowOff>
    </xdr:from>
    <xdr:to>
      <xdr:col>21</xdr:col>
      <xdr:colOff>236220</xdr:colOff>
      <xdr:row>56</xdr:row>
      <xdr:rowOff>45720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flipV="1">
          <a:off x="55911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38100</xdr:colOff>
      <xdr:row>55</xdr:row>
      <xdr:rowOff>160020</xdr:rowOff>
    </xdr:from>
    <xdr:to>
      <xdr:col>22</xdr:col>
      <xdr:colOff>236220</xdr:colOff>
      <xdr:row>56</xdr:row>
      <xdr:rowOff>45720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flipV="1">
          <a:off x="5829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38100</xdr:colOff>
      <xdr:row>55</xdr:row>
      <xdr:rowOff>160020</xdr:rowOff>
    </xdr:from>
    <xdr:to>
      <xdr:col>23</xdr:col>
      <xdr:colOff>236220</xdr:colOff>
      <xdr:row>56</xdr:row>
      <xdr:rowOff>45720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flipV="1">
          <a:off x="6067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38100</xdr:colOff>
      <xdr:row>55</xdr:row>
      <xdr:rowOff>160020</xdr:rowOff>
    </xdr:from>
    <xdr:to>
      <xdr:col>24</xdr:col>
      <xdr:colOff>236220</xdr:colOff>
      <xdr:row>56</xdr:row>
      <xdr:rowOff>45720</xdr:rowOff>
    </xdr:to>
    <xdr:sp macro="" textlink="">
      <xdr:nvSpPr>
        <xdr:cNvPr id="44" name="Line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ShapeType="1"/>
        </xdr:cNvSpPr>
      </xdr:nvSpPr>
      <xdr:spPr bwMode="auto">
        <a:xfrm flipV="1">
          <a:off x="6305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38100</xdr:colOff>
      <xdr:row>55</xdr:row>
      <xdr:rowOff>160020</xdr:rowOff>
    </xdr:from>
    <xdr:to>
      <xdr:col>25</xdr:col>
      <xdr:colOff>236220</xdr:colOff>
      <xdr:row>56</xdr:row>
      <xdr:rowOff>45720</xdr:rowOff>
    </xdr:to>
    <xdr:sp macro="" textlink="">
      <xdr:nvSpPr>
        <xdr:cNvPr id="45" name="Line 5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ShapeType="1"/>
        </xdr:cNvSpPr>
      </xdr:nvSpPr>
      <xdr:spPr bwMode="auto">
        <a:xfrm flipV="1">
          <a:off x="6543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38100</xdr:colOff>
      <xdr:row>55</xdr:row>
      <xdr:rowOff>160020</xdr:rowOff>
    </xdr:from>
    <xdr:to>
      <xdr:col>26</xdr:col>
      <xdr:colOff>236220</xdr:colOff>
      <xdr:row>56</xdr:row>
      <xdr:rowOff>45720</xdr:rowOff>
    </xdr:to>
    <xdr:sp macro="" textlink="">
      <xdr:nvSpPr>
        <xdr:cNvPr id="46" name="Line 5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ShapeType="1"/>
        </xdr:cNvSpPr>
      </xdr:nvSpPr>
      <xdr:spPr bwMode="auto">
        <a:xfrm flipV="1">
          <a:off x="6781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38100</xdr:colOff>
      <xdr:row>55</xdr:row>
      <xdr:rowOff>160020</xdr:rowOff>
    </xdr:from>
    <xdr:to>
      <xdr:col>27</xdr:col>
      <xdr:colOff>236220</xdr:colOff>
      <xdr:row>56</xdr:row>
      <xdr:rowOff>45720</xdr:rowOff>
    </xdr:to>
    <xdr:sp macro="" textlink="">
      <xdr:nvSpPr>
        <xdr:cNvPr id="47" name="Line 5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ShapeType="1"/>
        </xdr:cNvSpPr>
      </xdr:nvSpPr>
      <xdr:spPr bwMode="auto">
        <a:xfrm flipV="1">
          <a:off x="7019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38100</xdr:colOff>
      <xdr:row>55</xdr:row>
      <xdr:rowOff>160020</xdr:rowOff>
    </xdr:from>
    <xdr:to>
      <xdr:col>28</xdr:col>
      <xdr:colOff>236220</xdr:colOff>
      <xdr:row>56</xdr:row>
      <xdr:rowOff>45720</xdr:rowOff>
    </xdr:to>
    <xdr:sp macro="" textlink="">
      <xdr:nvSpPr>
        <xdr:cNvPr id="48" name="Line 5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ShapeType="1"/>
        </xdr:cNvSpPr>
      </xdr:nvSpPr>
      <xdr:spPr bwMode="auto">
        <a:xfrm flipV="1">
          <a:off x="7258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38100</xdr:colOff>
      <xdr:row>55</xdr:row>
      <xdr:rowOff>160020</xdr:rowOff>
    </xdr:from>
    <xdr:to>
      <xdr:col>29</xdr:col>
      <xdr:colOff>236220</xdr:colOff>
      <xdr:row>56</xdr:row>
      <xdr:rowOff>45720</xdr:rowOff>
    </xdr:to>
    <xdr:sp macro="" textlink="">
      <xdr:nvSpPr>
        <xdr:cNvPr id="49" name="Line 5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ShapeType="1"/>
        </xdr:cNvSpPr>
      </xdr:nvSpPr>
      <xdr:spPr bwMode="auto">
        <a:xfrm flipV="1">
          <a:off x="74961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38100</xdr:colOff>
      <xdr:row>55</xdr:row>
      <xdr:rowOff>160020</xdr:rowOff>
    </xdr:from>
    <xdr:to>
      <xdr:col>30</xdr:col>
      <xdr:colOff>236220</xdr:colOff>
      <xdr:row>56</xdr:row>
      <xdr:rowOff>45720</xdr:rowOff>
    </xdr:to>
    <xdr:sp macro="" textlink="">
      <xdr:nvSpPr>
        <xdr:cNvPr id="50" name="Line 5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ShapeType="1"/>
        </xdr:cNvSpPr>
      </xdr:nvSpPr>
      <xdr:spPr bwMode="auto">
        <a:xfrm flipV="1">
          <a:off x="7734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38100</xdr:colOff>
      <xdr:row>55</xdr:row>
      <xdr:rowOff>160020</xdr:rowOff>
    </xdr:from>
    <xdr:to>
      <xdr:col>31</xdr:col>
      <xdr:colOff>236220</xdr:colOff>
      <xdr:row>56</xdr:row>
      <xdr:rowOff>45720</xdr:rowOff>
    </xdr:to>
    <xdr:sp macro="" textlink="">
      <xdr:nvSpPr>
        <xdr:cNvPr id="51" name="Line 6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V="1">
          <a:off x="7972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38100</xdr:colOff>
      <xdr:row>55</xdr:row>
      <xdr:rowOff>160020</xdr:rowOff>
    </xdr:from>
    <xdr:to>
      <xdr:col>32</xdr:col>
      <xdr:colOff>236220</xdr:colOff>
      <xdr:row>56</xdr:row>
      <xdr:rowOff>45720</xdr:rowOff>
    </xdr:to>
    <xdr:sp macro="" textlink="">
      <xdr:nvSpPr>
        <xdr:cNvPr id="52" name="Line 6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V="1">
          <a:off x="8210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38100</xdr:colOff>
      <xdr:row>55</xdr:row>
      <xdr:rowOff>160020</xdr:rowOff>
    </xdr:from>
    <xdr:to>
      <xdr:col>33</xdr:col>
      <xdr:colOff>236220</xdr:colOff>
      <xdr:row>56</xdr:row>
      <xdr:rowOff>45720</xdr:rowOff>
    </xdr:to>
    <xdr:sp macro="" textlink="">
      <xdr:nvSpPr>
        <xdr:cNvPr id="53" name="Line 6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 flipV="1">
          <a:off x="8448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38100</xdr:colOff>
      <xdr:row>55</xdr:row>
      <xdr:rowOff>160020</xdr:rowOff>
    </xdr:from>
    <xdr:to>
      <xdr:col>34</xdr:col>
      <xdr:colOff>236220</xdr:colOff>
      <xdr:row>56</xdr:row>
      <xdr:rowOff>45720</xdr:rowOff>
    </xdr:to>
    <xdr:sp macro="" textlink="">
      <xdr:nvSpPr>
        <xdr:cNvPr id="54" name="Line 6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 flipV="1">
          <a:off x="8686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38100</xdr:colOff>
      <xdr:row>55</xdr:row>
      <xdr:rowOff>160020</xdr:rowOff>
    </xdr:from>
    <xdr:to>
      <xdr:col>35</xdr:col>
      <xdr:colOff>236220</xdr:colOff>
      <xdr:row>56</xdr:row>
      <xdr:rowOff>45720</xdr:rowOff>
    </xdr:to>
    <xdr:sp macro="" textlink="">
      <xdr:nvSpPr>
        <xdr:cNvPr id="55" name="Line 6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 flipV="1">
          <a:off x="8924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38100</xdr:colOff>
      <xdr:row>55</xdr:row>
      <xdr:rowOff>160020</xdr:rowOff>
    </xdr:from>
    <xdr:to>
      <xdr:col>36</xdr:col>
      <xdr:colOff>236220</xdr:colOff>
      <xdr:row>56</xdr:row>
      <xdr:rowOff>45720</xdr:rowOff>
    </xdr:to>
    <xdr:sp macro="" textlink="">
      <xdr:nvSpPr>
        <xdr:cNvPr id="56" name="Line 6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 flipV="1">
          <a:off x="9163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65</xdr:row>
          <xdr:rowOff>114300</xdr:rowOff>
        </xdr:from>
        <xdr:to>
          <xdr:col>5</xdr:col>
          <xdr:colOff>142875</xdr:colOff>
          <xdr:row>67</xdr:row>
          <xdr:rowOff>114300</xdr:rowOff>
        </xdr:to>
        <xdr:sp macro="" textlink="">
          <xdr:nvSpPr>
            <xdr:cNvPr id="365569" name="Button 1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06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製図確認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762000</xdr:rowOff>
        </xdr:from>
        <xdr:to>
          <xdr:col>13</xdr:col>
          <xdr:colOff>476250</xdr:colOff>
          <xdr:row>1</xdr:row>
          <xdr:rowOff>1066800</xdr:rowOff>
        </xdr:to>
        <xdr:sp macro="" textlink="">
          <xdr:nvSpPr>
            <xdr:cNvPr id="365570" name="Button 2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06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○書き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419100</xdr:rowOff>
        </xdr:from>
        <xdr:to>
          <xdr:col>13</xdr:col>
          <xdr:colOff>476250</xdr:colOff>
          <xdr:row>1</xdr:row>
          <xdr:rowOff>723900</xdr:rowOff>
        </xdr:to>
        <xdr:sp macro="" textlink="">
          <xdr:nvSpPr>
            <xdr:cNvPr id="365571" name="Button 3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06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1000125</xdr:rowOff>
        </xdr:from>
        <xdr:to>
          <xdr:col>4</xdr:col>
          <xdr:colOff>133350</xdr:colOff>
          <xdr:row>1</xdr:row>
          <xdr:rowOff>1352550</xdr:rowOff>
        </xdr:to>
        <xdr:sp macro="" textlink="">
          <xdr:nvSpPr>
            <xdr:cNvPr id="365572" name="Button 4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06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標準明朝"/>
                  <a:ea typeface="標準明朝"/>
                </a:rPr>
                <a:t>範囲罫線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</xdr:row>
          <xdr:rowOff>1257300</xdr:rowOff>
        </xdr:from>
        <xdr:to>
          <xdr:col>12</xdr:col>
          <xdr:colOff>38100</xdr:colOff>
          <xdr:row>1</xdr:row>
          <xdr:rowOff>1524000</xdr:rowOff>
        </xdr:to>
        <xdr:sp macro="" textlink="">
          <xdr:nvSpPr>
            <xdr:cNvPr id="365573" name="Button 5" hidden="1">
              <a:extLst>
                <a:ext uri="{63B3BB69-23CF-44E3-9099-C40C66FF867C}">
                  <a14:compatExt spid="_x0000_s365573"/>
                </a:ext>
                <a:ext uri="{FF2B5EF4-FFF2-40B4-BE49-F238E27FC236}">
                  <a16:creationId xmlns:a16="http://schemas.microsoft.com/office/drawing/2014/main" id="{00000000-0008-0000-0600-000005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</xdr:row>
          <xdr:rowOff>1257300</xdr:rowOff>
        </xdr:from>
        <xdr:to>
          <xdr:col>13</xdr:col>
          <xdr:colOff>142875</xdr:colOff>
          <xdr:row>1</xdr:row>
          <xdr:rowOff>1524000</xdr:rowOff>
        </xdr:to>
        <xdr:sp macro="" textlink="">
          <xdr:nvSpPr>
            <xdr:cNvPr id="365574" name="Button 6" hidden="1">
              <a:extLst>
                <a:ext uri="{63B3BB69-23CF-44E3-9099-C40C66FF867C}">
                  <a14:compatExt spid="_x0000_s365574"/>
                </a:ext>
                <a:ext uri="{FF2B5EF4-FFF2-40B4-BE49-F238E27FC236}">
                  <a16:creationId xmlns:a16="http://schemas.microsoft.com/office/drawing/2014/main" id="{00000000-0008-0000-0600-000006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</xdr:row>
          <xdr:rowOff>1257300</xdr:rowOff>
        </xdr:from>
        <xdr:to>
          <xdr:col>13</xdr:col>
          <xdr:colOff>485775</xdr:colOff>
          <xdr:row>1</xdr:row>
          <xdr:rowOff>1524000</xdr:rowOff>
        </xdr:to>
        <xdr:sp macro="" textlink="">
          <xdr:nvSpPr>
            <xdr:cNvPr id="365575" name="Button 7" hidden="1">
              <a:extLst>
                <a:ext uri="{63B3BB69-23CF-44E3-9099-C40C66FF867C}">
                  <a14:compatExt spid="_x0000_s365575"/>
                </a:ext>
                <a:ext uri="{FF2B5EF4-FFF2-40B4-BE49-F238E27FC236}">
                  <a16:creationId xmlns:a16="http://schemas.microsoft.com/office/drawing/2014/main" id="{00000000-0008-0000-0600-000007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1257300</xdr:rowOff>
        </xdr:from>
        <xdr:to>
          <xdr:col>10</xdr:col>
          <xdr:colOff>200025</xdr:colOff>
          <xdr:row>1</xdr:row>
          <xdr:rowOff>1524000</xdr:rowOff>
        </xdr:to>
        <xdr:sp macro="" textlink="">
          <xdr:nvSpPr>
            <xdr:cNvPr id="365576" name="Button 8" hidden="1">
              <a:extLst>
                <a:ext uri="{63B3BB69-23CF-44E3-9099-C40C66FF867C}">
                  <a14:compatExt spid="_x0000_s365576"/>
                </a:ext>
                <a:ext uri="{FF2B5EF4-FFF2-40B4-BE49-F238E27FC236}">
                  <a16:creationId xmlns:a16="http://schemas.microsoft.com/office/drawing/2014/main" id="{00000000-0008-0000-0600-000008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Ｎ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190501</xdr:colOff>
      <xdr:row>16</xdr:row>
      <xdr:rowOff>9525</xdr:rowOff>
    </xdr:from>
    <xdr:to>
      <xdr:col>56</xdr:col>
      <xdr:colOff>200026</xdr:colOff>
      <xdr:row>17</xdr:row>
      <xdr:rowOff>190499</xdr:rowOff>
    </xdr:to>
    <xdr:sp macro="" textlink="">
      <xdr:nvSpPr>
        <xdr:cNvPr id="65" name="正方形/長方形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 bwMode="auto">
        <a:xfrm>
          <a:off x="9553576" y="4705350"/>
          <a:ext cx="4533900" cy="371474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ja-JP" altLang="en-US" sz="1100"/>
            <a:t>全返品、一部返品のみの場合は対象外になるので、テスト実施しない</a:t>
          </a:r>
          <a:endParaRPr kumimoji="1" lang="en-US" altLang="ja-JP" sz="1100"/>
        </a:p>
      </xdr:txBody>
    </xdr:sp>
    <xdr:clientData/>
  </xdr:twoCellAnchor>
  <xdr:twoCellAnchor>
    <xdr:from>
      <xdr:col>38</xdr:col>
      <xdr:colOff>66675</xdr:colOff>
      <xdr:row>22</xdr:row>
      <xdr:rowOff>95250</xdr:rowOff>
    </xdr:from>
    <xdr:to>
      <xdr:col>53</xdr:col>
      <xdr:colOff>219075</xdr:colOff>
      <xdr:row>25</xdr:row>
      <xdr:rowOff>28575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 bwMode="auto">
        <a:xfrm>
          <a:off x="9667875" y="6324600"/>
          <a:ext cx="3724275" cy="5048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ja-JP" altLang="en-US" sz="1100"/>
            <a:t>計算方法に問題無いことを確認しながらテスト実施する</a:t>
          </a:r>
          <a:endParaRPr kumimoji="1" lang="en-US" altLang="ja-JP" sz="1100"/>
        </a:p>
        <a:p>
          <a:pPr algn="l"/>
          <a:r>
            <a:rPr kumimoji="1" lang="en-US" altLang="ja-JP" sz="1100"/>
            <a:t>(</a:t>
          </a:r>
          <a:r>
            <a:rPr kumimoji="1" lang="ja-JP" altLang="en-US" sz="1100"/>
            <a:t>計算方法は、設計書を参考にする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37</xdr:col>
      <xdr:colOff>228600</xdr:colOff>
      <xdr:row>26</xdr:row>
      <xdr:rowOff>171450</xdr:rowOff>
    </xdr:from>
    <xdr:to>
      <xdr:col>57</xdr:col>
      <xdr:colOff>209550</xdr:colOff>
      <xdr:row>30</xdr:row>
      <xdr:rowOff>0</xdr:rowOff>
    </xdr:to>
    <xdr:sp macro="" textlink="">
      <xdr:nvSpPr>
        <xdr:cNvPr id="67" name="正方形/長方形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 bwMode="auto">
        <a:xfrm>
          <a:off x="9591675" y="7162800"/>
          <a:ext cx="4743450" cy="5905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en-US" altLang="ja-JP" sz="1100"/>
            <a:t>CCL</a:t>
          </a:r>
          <a:r>
            <a:rPr kumimoji="1" lang="ja-JP" altLang="en-US" sz="1100"/>
            <a:t>作成者の想定では以下の様な挙動</a:t>
          </a:r>
          <a:endParaRPr kumimoji="1" lang="en-US" altLang="ja-JP" sz="1100"/>
        </a:p>
        <a:p>
          <a:pPr algn="l"/>
          <a:r>
            <a:rPr kumimoji="1" lang="ja-JP" altLang="en-US" sz="1100"/>
            <a:t>一致：</a:t>
          </a:r>
          <a:r>
            <a:rPr kumimoji="1" lang="en-US" altLang="ja-JP" sz="1100"/>
            <a:t>RMS</a:t>
          </a:r>
          <a:r>
            <a:rPr kumimoji="1" lang="ja-JP" altLang="en-US" sz="1100"/>
            <a:t>側でキャンセル申請を行わなずに、チェック実施</a:t>
          </a:r>
          <a:endParaRPr kumimoji="1" lang="en-US" altLang="ja-JP" sz="1100"/>
        </a:p>
        <a:p>
          <a:pPr algn="l"/>
          <a:r>
            <a:rPr kumimoji="1" lang="ja-JP" altLang="en-US" sz="1100"/>
            <a:t>不一致：</a:t>
          </a:r>
          <a:r>
            <a:rPr kumimoji="1" lang="en-US" altLang="ja-JP" sz="1100"/>
            <a:t>RMS</a:t>
          </a:r>
          <a:r>
            <a:rPr kumimoji="1" lang="ja-JP" altLang="en-US" sz="1100"/>
            <a:t>側で誤ってキャンセル申請を行って、チェック実施</a:t>
          </a:r>
          <a:endParaRPr kumimoji="1" lang="en-US" altLang="ja-JP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51</xdr:row>
      <xdr:rowOff>9525</xdr:rowOff>
    </xdr:from>
    <xdr:to>
      <xdr:col>14</xdr:col>
      <xdr:colOff>9525</xdr:colOff>
      <xdr:row>53</xdr:row>
      <xdr:rowOff>0</xdr:rowOff>
    </xdr:to>
    <xdr:sp macro="" textlink="">
      <xdr:nvSpPr>
        <xdr:cNvPr id="2" name="テキスト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2152650" y="11934825"/>
          <a:ext cx="1743075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テスト仕様書番号</a:t>
          </a: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13</xdr:col>
      <xdr:colOff>0</xdr:colOff>
      <xdr:row>57</xdr:row>
      <xdr:rowOff>0</xdr:rowOff>
    </xdr:to>
    <xdr:sp macro="" textlink="">
      <xdr:nvSpPr>
        <xdr:cNvPr id="3" name="テキス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2143125" y="12306300"/>
          <a:ext cx="952500" cy="762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確認日</a:t>
          </a:r>
        </a:p>
      </xdr:txBody>
    </xdr:sp>
    <xdr:clientData/>
  </xdr:twoCellAnchor>
  <xdr:twoCellAnchor>
    <xdr:from>
      <xdr:col>0</xdr:col>
      <xdr:colOff>0</xdr:colOff>
      <xdr:row>51</xdr:row>
      <xdr:rowOff>0</xdr:rowOff>
    </xdr:from>
    <xdr:to>
      <xdr:col>2</xdr:col>
      <xdr:colOff>219075</xdr:colOff>
      <xdr:row>54</xdr:row>
      <xdr:rowOff>180975</xdr:rowOff>
    </xdr:to>
    <xdr:sp macro="" textlink="">
      <xdr:nvSpPr>
        <xdr:cNvPr id="4" name="テキスト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0" y="11925300"/>
          <a:ext cx="695325" cy="752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ﾀｲﾄﾙ</a:t>
          </a:r>
        </a:p>
      </xdr:txBody>
    </xdr:sp>
    <xdr:clientData/>
  </xdr:twoCellAnchor>
  <xdr:twoCellAnchor>
    <xdr:from>
      <xdr:col>13</xdr:col>
      <xdr:colOff>0</xdr:colOff>
      <xdr:row>53</xdr:row>
      <xdr:rowOff>0</xdr:rowOff>
    </xdr:from>
    <xdr:to>
      <xdr:col>14</xdr:col>
      <xdr:colOff>0</xdr:colOff>
      <xdr:row>55</xdr:row>
      <xdr:rowOff>0</xdr:rowOff>
    </xdr:to>
    <xdr:sp macro="" textlink="">
      <xdr:nvSpPr>
        <xdr:cNvPr id="5" name="テキスト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3095625" y="12306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机上</a:t>
          </a:r>
        </a:p>
      </xdr:txBody>
    </xdr:sp>
    <xdr:clientData/>
  </xdr:twoCellAnchor>
  <xdr:twoCellAnchor>
    <xdr:from>
      <xdr:col>13</xdr:col>
      <xdr:colOff>0</xdr:colOff>
      <xdr:row>55</xdr:row>
      <xdr:rowOff>0</xdr:rowOff>
    </xdr:from>
    <xdr:to>
      <xdr:col>14</xdr:col>
      <xdr:colOff>0</xdr:colOff>
      <xdr:row>57</xdr:row>
      <xdr:rowOff>0</xdr:rowOff>
    </xdr:to>
    <xdr:sp macro="" textlink="">
      <xdr:nvSpPr>
        <xdr:cNvPr id="6" name="テキスト 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3095625" y="12687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マシン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13</xdr:col>
      <xdr:colOff>792480</xdr:colOff>
      <xdr:row>1</xdr:row>
      <xdr:rowOff>1706880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ShapeType="1"/>
        </xdr:cNvSpPr>
      </xdr:nvSpPr>
      <xdr:spPr bwMode="auto">
        <a:xfrm>
          <a:off x="0" y="314325"/>
          <a:ext cx="3888105" cy="170688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95250</xdr:colOff>
      <xdr:row>1</xdr:row>
      <xdr:rowOff>1419225</xdr:rowOff>
    </xdr:from>
    <xdr:to>
      <xdr:col>12</xdr:col>
      <xdr:colOff>152400</xdr:colOff>
      <xdr:row>1</xdr:row>
      <xdr:rowOff>1676400</xdr:rowOff>
    </xdr:to>
    <xdr:sp macro="" textlink="">
      <xdr:nvSpPr>
        <xdr:cNvPr id="8" name="テキスト 1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95250" y="1733550"/>
          <a:ext cx="2914650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チェック条件／確認内容</a:t>
          </a:r>
        </a:p>
      </xdr:txBody>
    </xdr:sp>
    <xdr:clientData/>
  </xdr:twoCellAnchor>
  <xdr:twoCellAnchor>
    <xdr:from>
      <xdr:col>9</xdr:col>
      <xdr:colOff>76200</xdr:colOff>
      <xdr:row>1</xdr:row>
      <xdr:rowOff>123825</xdr:rowOff>
    </xdr:from>
    <xdr:to>
      <xdr:col>13</xdr:col>
      <xdr:colOff>653396</xdr:colOff>
      <xdr:row>1</xdr:row>
      <xdr:rowOff>333375</xdr:rowOff>
    </xdr:to>
    <xdr:sp macro="" textlink="">
      <xdr:nvSpPr>
        <xdr:cNvPr id="9" name="テキスト 12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2219325" y="438150"/>
          <a:ext cx="1529696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チェックＩＤ</a:t>
          </a:r>
        </a:p>
      </xdr:txBody>
    </xdr:sp>
    <xdr:clientData/>
  </xdr:twoCellAnchor>
  <xdr:twoCellAnchor>
    <xdr:from>
      <xdr:col>28</xdr:col>
      <xdr:colOff>182880</xdr:colOff>
      <xdr:row>62</xdr:row>
      <xdr:rowOff>106680</xdr:rowOff>
    </xdr:from>
    <xdr:to>
      <xdr:col>29</xdr:col>
      <xdr:colOff>144780</xdr:colOff>
      <xdr:row>64</xdr:row>
      <xdr:rowOff>121920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ShapeType="1"/>
        </xdr:cNvSpPr>
      </xdr:nvSpPr>
      <xdr:spPr bwMode="auto">
        <a:xfrm flipV="1">
          <a:off x="7402830" y="14127480"/>
          <a:ext cx="200025" cy="3962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30480</xdr:colOff>
      <xdr:row>53</xdr:row>
      <xdr:rowOff>152400</xdr:rowOff>
    </xdr:from>
    <xdr:to>
      <xdr:col>14</xdr:col>
      <xdr:colOff>220980</xdr:colOff>
      <xdr:row>54</xdr:row>
      <xdr:rowOff>38100</xdr:rowOff>
    </xdr:to>
    <xdr:sp macro="" textlink="">
      <xdr:nvSpPr>
        <xdr:cNvPr id="11" name="Line 2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ShapeType="1"/>
        </xdr:cNvSpPr>
      </xdr:nvSpPr>
      <xdr:spPr bwMode="auto">
        <a:xfrm flipV="1">
          <a:off x="3916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30480</xdr:colOff>
      <xdr:row>53</xdr:row>
      <xdr:rowOff>152400</xdr:rowOff>
    </xdr:from>
    <xdr:to>
      <xdr:col>15</xdr:col>
      <xdr:colOff>220980</xdr:colOff>
      <xdr:row>54</xdr:row>
      <xdr:rowOff>38100</xdr:rowOff>
    </xdr:to>
    <xdr:sp macro="" textlink="">
      <xdr:nvSpPr>
        <xdr:cNvPr id="12" name="Line 2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ShapeType="1"/>
        </xdr:cNvSpPr>
      </xdr:nvSpPr>
      <xdr:spPr bwMode="auto">
        <a:xfrm flipV="1">
          <a:off x="4154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30480</xdr:colOff>
      <xdr:row>53</xdr:row>
      <xdr:rowOff>152400</xdr:rowOff>
    </xdr:from>
    <xdr:to>
      <xdr:col>16</xdr:col>
      <xdr:colOff>220980</xdr:colOff>
      <xdr:row>54</xdr:row>
      <xdr:rowOff>38100</xdr:rowOff>
    </xdr:to>
    <xdr:sp macro="" textlink="">
      <xdr:nvSpPr>
        <xdr:cNvPr id="13" name="Line 2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 flipV="1">
          <a:off x="4392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30480</xdr:colOff>
      <xdr:row>53</xdr:row>
      <xdr:rowOff>152400</xdr:rowOff>
    </xdr:from>
    <xdr:to>
      <xdr:col>17</xdr:col>
      <xdr:colOff>220980</xdr:colOff>
      <xdr:row>54</xdr:row>
      <xdr:rowOff>38100</xdr:rowOff>
    </xdr:to>
    <xdr:sp macro="" textlink="">
      <xdr:nvSpPr>
        <xdr:cNvPr id="14" name="Line 2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ShapeType="1"/>
        </xdr:cNvSpPr>
      </xdr:nvSpPr>
      <xdr:spPr bwMode="auto">
        <a:xfrm flipV="1">
          <a:off x="4631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30480</xdr:colOff>
      <xdr:row>53</xdr:row>
      <xdr:rowOff>152400</xdr:rowOff>
    </xdr:from>
    <xdr:to>
      <xdr:col>18</xdr:col>
      <xdr:colOff>220980</xdr:colOff>
      <xdr:row>54</xdr:row>
      <xdr:rowOff>38100</xdr:rowOff>
    </xdr:to>
    <xdr:sp macro="" textlink="">
      <xdr:nvSpPr>
        <xdr:cNvPr id="15" name="Line 2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ShapeType="1"/>
        </xdr:cNvSpPr>
      </xdr:nvSpPr>
      <xdr:spPr bwMode="auto">
        <a:xfrm flipV="1">
          <a:off x="4869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30480</xdr:colOff>
      <xdr:row>53</xdr:row>
      <xdr:rowOff>152400</xdr:rowOff>
    </xdr:from>
    <xdr:to>
      <xdr:col>19</xdr:col>
      <xdr:colOff>220980</xdr:colOff>
      <xdr:row>54</xdr:row>
      <xdr:rowOff>38100</xdr:rowOff>
    </xdr:to>
    <xdr:sp macro="" textlink="">
      <xdr:nvSpPr>
        <xdr:cNvPr id="16" name="Line 2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ShapeType="1"/>
        </xdr:cNvSpPr>
      </xdr:nvSpPr>
      <xdr:spPr bwMode="auto">
        <a:xfrm flipV="1">
          <a:off x="5107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30480</xdr:colOff>
      <xdr:row>53</xdr:row>
      <xdr:rowOff>152400</xdr:rowOff>
    </xdr:from>
    <xdr:to>
      <xdr:col>20</xdr:col>
      <xdr:colOff>220980</xdr:colOff>
      <xdr:row>54</xdr:row>
      <xdr:rowOff>38100</xdr:rowOff>
    </xdr:to>
    <xdr:sp macro="" textlink="">
      <xdr:nvSpPr>
        <xdr:cNvPr id="17" name="Line 2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ShapeType="1"/>
        </xdr:cNvSpPr>
      </xdr:nvSpPr>
      <xdr:spPr bwMode="auto">
        <a:xfrm flipV="1">
          <a:off x="5345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30480</xdr:colOff>
      <xdr:row>53</xdr:row>
      <xdr:rowOff>152400</xdr:rowOff>
    </xdr:from>
    <xdr:to>
      <xdr:col>21</xdr:col>
      <xdr:colOff>220980</xdr:colOff>
      <xdr:row>54</xdr:row>
      <xdr:rowOff>38100</xdr:rowOff>
    </xdr:to>
    <xdr:sp macro="" textlink="">
      <xdr:nvSpPr>
        <xdr:cNvPr id="18" name="Line 2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ShapeType="1"/>
        </xdr:cNvSpPr>
      </xdr:nvSpPr>
      <xdr:spPr bwMode="auto">
        <a:xfrm flipV="1">
          <a:off x="55835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30480</xdr:colOff>
      <xdr:row>53</xdr:row>
      <xdr:rowOff>152400</xdr:rowOff>
    </xdr:from>
    <xdr:to>
      <xdr:col>22</xdr:col>
      <xdr:colOff>220980</xdr:colOff>
      <xdr:row>54</xdr:row>
      <xdr:rowOff>38100</xdr:rowOff>
    </xdr:to>
    <xdr:sp macro="" textlink="">
      <xdr:nvSpPr>
        <xdr:cNvPr id="19" name="Line 2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ShapeType="1"/>
        </xdr:cNvSpPr>
      </xdr:nvSpPr>
      <xdr:spPr bwMode="auto">
        <a:xfrm flipV="1">
          <a:off x="5821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30480</xdr:colOff>
      <xdr:row>53</xdr:row>
      <xdr:rowOff>152400</xdr:rowOff>
    </xdr:from>
    <xdr:to>
      <xdr:col>23</xdr:col>
      <xdr:colOff>220980</xdr:colOff>
      <xdr:row>54</xdr:row>
      <xdr:rowOff>38100</xdr:rowOff>
    </xdr:to>
    <xdr:sp macro="" textlink="">
      <xdr:nvSpPr>
        <xdr:cNvPr id="20" name="Line 2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ShapeType="1"/>
        </xdr:cNvSpPr>
      </xdr:nvSpPr>
      <xdr:spPr bwMode="auto">
        <a:xfrm flipV="1">
          <a:off x="6059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30480</xdr:colOff>
      <xdr:row>53</xdr:row>
      <xdr:rowOff>152400</xdr:rowOff>
    </xdr:from>
    <xdr:to>
      <xdr:col>24</xdr:col>
      <xdr:colOff>220980</xdr:colOff>
      <xdr:row>54</xdr:row>
      <xdr:rowOff>38100</xdr:rowOff>
    </xdr:to>
    <xdr:sp macro="" textlink="">
      <xdr:nvSpPr>
        <xdr:cNvPr id="21" name="Line 3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ShapeType="1"/>
        </xdr:cNvSpPr>
      </xdr:nvSpPr>
      <xdr:spPr bwMode="auto">
        <a:xfrm flipV="1">
          <a:off x="6297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30480</xdr:colOff>
      <xdr:row>53</xdr:row>
      <xdr:rowOff>152400</xdr:rowOff>
    </xdr:from>
    <xdr:to>
      <xdr:col>25</xdr:col>
      <xdr:colOff>220980</xdr:colOff>
      <xdr:row>54</xdr:row>
      <xdr:rowOff>38100</xdr:rowOff>
    </xdr:to>
    <xdr:sp macro="" textlink="">
      <xdr:nvSpPr>
        <xdr:cNvPr id="22" name="Line 3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ShapeType="1"/>
        </xdr:cNvSpPr>
      </xdr:nvSpPr>
      <xdr:spPr bwMode="auto">
        <a:xfrm flipV="1">
          <a:off x="6536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30480</xdr:colOff>
      <xdr:row>53</xdr:row>
      <xdr:rowOff>152400</xdr:rowOff>
    </xdr:from>
    <xdr:to>
      <xdr:col>26</xdr:col>
      <xdr:colOff>220980</xdr:colOff>
      <xdr:row>54</xdr:row>
      <xdr:rowOff>38100</xdr:rowOff>
    </xdr:to>
    <xdr:sp macro="" textlink="">
      <xdr:nvSpPr>
        <xdr:cNvPr id="23" name="Line 3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ShapeType="1"/>
        </xdr:cNvSpPr>
      </xdr:nvSpPr>
      <xdr:spPr bwMode="auto">
        <a:xfrm flipV="1">
          <a:off x="6774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30480</xdr:colOff>
      <xdr:row>53</xdr:row>
      <xdr:rowOff>152400</xdr:rowOff>
    </xdr:from>
    <xdr:to>
      <xdr:col>27</xdr:col>
      <xdr:colOff>220980</xdr:colOff>
      <xdr:row>54</xdr:row>
      <xdr:rowOff>38100</xdr:rowOff>
    </xdr:to>
    <xdr:sp macro="" textlink="">
      <xdr:nvSpPr>
        <xdr:cNvPr id="24" name="Line 3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ShapeType="1"/>
        </xdr:cNvSpPr>
      </xdr:nvSpPr>
      <xdr:spPr bwMode="auto">
        <a:xfrm flipV="1">
          <a:off x="7012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30480</xdr:colOff>
      <xdr:row>53</xdr:row>
      <xdr:rowOff>152400</xdr:rowOff>
    </xdr:from>
    <xdr:to>
      <xdr:col>28</xdr:col>
      <xdr:colOff>220980</xdr:colOff>
      <xdr:row>54</xdr:row>
      <xdr:rowOff>38100</xdr:rowOff>
    </xdr:to>
    <xdr:sp macro="" textlink="">
      <xdr:nvSpPr>
        <xdr:cNvPr id="25" name="Line 3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ShapeType="1"/>
        </xdr:cNvSpPr>
      </xdr:nvSpPr>
      <xdr:spPr bwMode="auto">
        <a:xfrm flipV="1">
          <a:off x="7250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30480</xdr:colOff>
      <xdr:row>53</xdr:row>
      <xdr:rowOff>152400</xdr:rowOff>
    </xdr:from>
    <xdr:to>
      <xdr:col>29</xdr:col>
      <xdr:colOff>220980</xdr:colOff>
      <xdr:row>54</xdr:row>
      <xdr:rowOff>38100</xdr:rowOff>
    </xdr:to>
    <xdr:sp macro="" textlink="">
      <xdr:nvSpPr>
        <xdr:cNvPr id="26" name="Line 3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ShapeType="1"/>
        </xdr:cNvSpPr>
      </xdr:nvSpPr>
      <xdr:spPr bwMode="auto">
        <a:xfrm flipV="1">
          <a:off x="74885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30480</xdr:colOff>
      <xdr:row>53</xdr:row>
      <xdr:rowOff>152400</xdr:rowOff>
    </xdr:from>
    <xdr:to>
      <xdr:col>30</xdr:col>
      <xdr:colOff>220980</xdr:colOff>
      <xdr:row>54</xdr:row>
      <xdr:rowOff>38100</xdr:rowOff>
    </xdr:to>
    <xdr:sp macro="" textlink="">
      <xdr:nvSpPr>
        <xdr:cNvPr id="27" name="Line 3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ShapeType="1"/>
        </xdr:cNvSpPr>
      </xdr:nvSpPr>
      <xdr:spPr bwMode="auto">
        <a:xfrm flipV="1">
          <a:off x="7726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30480</xdr:colOff>
      <xdr:row>53</xdr:row>
      <xdr:rowOff>152400</xdr:rowOff>
    </xdr:from>
    <xdr:to>
      <xdr:col>31</xdr:col>
      <xdr:colOff>220980</xdr:colOff>
      <xdr:row>54</xdr:row>
      <xdr:rowOff>38100</xdr:rowOff>
    </xdr:to>
    <xdr:sp macro="" textlink="">
      <xdr:nvSpPr>
        <xdr:cNvPr id="28" name="Line 3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ShapeType="1"/>
        </xdr:cNvSpPr>
      </xdr:nvSpPr>
      <xdr:spPr bwMode="auto">
        <a:xfrm flipV="1">
          <a:off x="7964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30480</xdr:colOff>
      <xdr:row>53</xdr:row>
      <xdr:rowOff>152400</xdr:rowOff>
    </xdr:from>
    <xdr:to>
      <xdr:col>32</xdr:col>
      <xdr:colOff>220980</xdr:colOff>
      <xdr:row>54</xdr:row>
      <xdr:rowOff>38100</xdr:rowOff>
    </xdr:to>
    <xdr:sp macro="" textlink="">
      <xdr:nvSpPr>
        <xdr:cNvPr id="29" name="Line 3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ShapeType="1"/>
        </xdr:cNvSpPr>
      </xdr:nvSpPr>
      <xdr:spPr bwMode="auto">
        <a:xfrm flipV="1">
          <a:off x="8202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30480</xdr:colOff>
      <xdr:row>53</xdr:row>
      <xdr:rowOff>152400</xdr:rowOff>
    </xdr:from>
    <xdr:to>
      <xdr:col>33</xdr:col>
      <xdr:colOff>220980</xdr:colOff>
      <xdr:row>54</xdr:row>
      <xdr:rowOff>38100</xdr:rowOff>
    </xdr:to>
    <xdr:sp macro="" textlink="">
      <xdr:nvSpPr>
        <xdr:cNvPr id="30" name="Line 3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ShapeType="1"/>
        </xdr:cNvSpPr>
      </xdr:nvSpPr>
      <xdr:spPr bwMode="auto">
        <a:xfrm flipV="1">
          <a:off x="8441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30480</xdr:colOff>
      <xdr:row>53</xdr:row>
      <xdr:rowOff>152400</xdr:rowOff>
    </xdr:from>
    <xdr:to>
      <xdr:col>34</xdr:col>
      <xdr:colOff>220980</xdr:colOff>
      <xdr:row>54</xdr:row>
      <xdr:rowOff>38100</xdr:rowOff>
    </xdr:to>
    <xdr:sp macro="" textlink="">
      <xdr:nvSpPr>
        <xdr:cNvPr id="31" name="Line 4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ShapeType="1"/>
        </xdr:cNvSpPr>
      </xdr:nvSpPr>
      <xdr:spPr bwMode="auto">
        <a:xfrm flipV="1">
          <a:off x="8679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30480</xdr:colOff>
      <xdr:row>53</xdr:row>
      <xdr:rowOff>152400</xdr:rowOff>
    </xdr:from>
    <xdr:to>
      <xdr:col>35</xdr:col>
      <xdr:colOff>220980</xdr:colOff>
      <xdr:row>54</xdr:row>
      <xdr:rowOff>38100</xdr:rowOff>
    </xdr:to>
    <xdr:sp macro="" textlink="">
      <xdr:nvSpPr>
        <xdr:cNvPr id="32" name="Line 4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ShapeType="1"/>
        </xdr:cNvSpPr>
      </xdr:nvSpPr>
      <xdr:spPr bwMode="auto">
        <a:xfrm flipV="1">
          <a:off x="8917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30480</xdr:colOff>
      <xdr:row>53</xdr:row>
      <xdr:rowOff>152400</xdr:rowOff>
    </xdr:from>
    <xdr:to>
      <xdr:col>36</xdr:col>
      <xdr:colOff>220980</xdr:colOff>
      <xdr:row>54</xdr:row>
      <xdr:rowOff>38100</xdr:rowOff>
    </xdr:to>
    <xdr:sp macro="" textlink="">
      <xdr:nvSpPr>
        <xdr:cNvPr id="33" name="Line 4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ShapeType="1"/>
        </xdr:cNvSpPr>
      </xdr:nvSpPr>
      <xdr:spPr bwMode="auto">
        <a:xfrm flipV="1">
          <a:off x="9155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38100</xdr:colOff>
      <xdr:row>55</xdr:row>
      <xdr:rowOff>160020</xdr:rowOff>
    </xdr:from>
    <xdr:to>
      <xdr:col>14</xdr:col>
      <xdr:colOff>236220</xdr:colOff>
      <xdr:row>56</xdr:row>
      <xdr:rowOff>45720</xdr:rowOff>
    </xdr:to>
    <xdr:sp macro="" textlink="">
      <xdr:nvSpPr>
        <xdr:cNvPr id="34" name="Line 4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 flipV="1">
          <a:off x="3924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38100</xdr:colOff>
      <xdr:row>55</xdr:row>
      <xdr:rowOff>160020</xdr:rowOff>
    </xdr:from>
    <xdr:to>
      <xdr:col>15</xdr:col>
      <xdr:colOff>236220</xdr:colOff>
      <xdr:row>56</xdr:row>
      <xdr:rowOff>45720</xdr:rowOff>
    </xdr:to>
    <xdr:sp macro="" textlink="">
      <xdr:nvSpPr>
        <xdr:cNvPr id="35" name="Line 4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ShapeType="1"/>
        </xdr:cNvSpPr>
      </xdr:nvSpPr>
      <xdr:spPr bwMode="auto">
        <a:xfrm flipV="1">
          <a:off x="4162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38100</xdr:colOff>
      <xdr:row>55</xdr:row>
      <xdr:rowOff>160020</xdr:rowOff>
    </xdr:from>
    <xdr:to>
      <xdr:col>16</xdr:col>
      <xdr:colOff>236220</xdr:colOff>
      <xdr:row>56</xdr:row>
      <xdr:rowOff>45720</xdr:rowOff>
    </xdr:to>
    <xdr:sp macro="" textlink="">
      <xdr:nvSpPr>
        <xdr:cNvPr id="36" name="Line 4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ShapeType="1"/>
        </xdr:cNvSpPr>
      </xdr:nvSpPr>
      <xdr:spPr bwMode="auto">
        <a:xfrm flipV="1">
          <a:off x="4400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38100</xdr:colOff>
      <xdr:row>55</xdr:row>
      <xdr:rowOff>160020</xdr:rowOff>
    </xdr:from>
    <xdr:to>
      <xdr:col>17</xdr:col>
      <xdr:colOff>236220</xdr:colOff>
      <xdr:row>56</xdr:row>
      <xdr:rowOff>45720</xdr:rowOff>
    </xdr:to>
    <xdr:sp macro="" textlink="">
      <xdr:nvSpPr>
        <xdr:cNvPr id="37" name="Line 4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 flipV="1">
          <a:off x="4638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38100</xdr:colOff>
      <xdr:row>55</xdr:row>
      <xdr:rowOff>160020</xdr:rowOff>
    </xdr:from>
    <xdr:to>
      <xdr:col>18</xdr:col>
      <xdr:colOff>236220</xdr:colOff>
      <xdr:row>56</xdr:row>
      <xdr:rowOff>45720</xdr:rowOff>
    </xdr:to>
    <xdr:sp macro="" textlink="">
      <xdr:nvSpPr>
        <xdr:cNvPr id="38" name="Line 4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ShapeType="1"/>
        </xdr:cNvSpPr>
      </xdr:nvSpPr>
      <xdr:spPr bwMode="auto">
        <a:xfrm flipV="1">
          <a:off x="4876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38100</xdr:colOff>
      <xdr:row>55</xdr:row>
      <xdr:rowOff>160020</xdr:rowOff>
    </xdr:from>
    <xdr:to>
      <xdr:col>19</xdr:col>
      <xdr:colOff>236220</xdr:colOff>
      <xdr:row>56</xdr:row>
      <xdr:rowOff>45720</xdr:rowOff>
    </xdr:to>
    <xdr:sp macro="" textlink="">
      <xdr:nvSpPr>
        <xdr:cNvPr id="39" name="Line 4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ShapeType="1"/>
        </xdr:cNvSpPr>
      </xdr:nvSpPr>
      <xdr:spPr bwMode="auto">
        <a:xfrm flipV="1">
          <a:off x="5114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38100</xdr:colOff>
      <xdr:row>55</xdr:row>
      <xdr:rowOff>160020</xdr:rowOff>
    </xdr:from>
    <xdr:to>
      <xdr:col>20</xdr:col>
      <xdr:colOff>236220</xdr:colOff>
      <xdr:row>56</xdr:row>
      <xdr:rowOff>45720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>
          <a:spLocks noChangeShapeType="1"/>
        </xdr:cNvSpPr>
      </xdr:nvSpPr>
      <xdr:spPr bwMode="auto">
        <a:xfrm flipV="1">
          <a:off x="5353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38100</xdr:colOff>
      <xdr:row>55</xdr:row>
      <xdr:rowOff>160020</xdr:rowOff>
    </xdr:from>
    <xdr:to>
      <xdr:col>21</xdr:col>
      <xdr:colOff>236220</xdr:colOff>
      <xdr:row>56</xdr:row>
      <xdr:rowOff>45720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>
          <a:spLocks noChangeShapeType="1"/>
        </xdr:cNvSpPr>
      </xdr:nvSpPr>
      <xdr:spPr bwMode="auto">
        <a:xfrm flipV="1">
          <a:off x="55911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38100</xdr:colOff>
      <xdr:row>55</xdr:row>
      <xdr:rowOff>160020</xdr:rowOff>
    </xdr:from>
    <xdr:to>
      <xdr:col>22</xdr:col>
      <xdr:colOff>236220</xdr:colOff>
      <xdr:row>56</xdr:row>
      <xdr:rowOff>45720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>
          <a:spLocks noChangeShapeType="1"/>
        </xdr:cNvSpPr>
      </xdr:nvSpPr>
      <xdr:spPr bwMode="auto">
        <a:xfrm flipV="1">
          <a:off x="5829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38100</xdr:colOff>
      <xdr:row>55</xdr:row>
      <xdr:rowOff>160020</xdr:rowOff>
    </xdr:from>
    <xdr:to>
      <xdr:col>23</xdr:col>
      <xdr:colOff>236220</xdr:colOff>
      <xdr:row>56</xdr:row>
      <xdr:rowOff>45720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>
          <a:spLocks noChangeShapeType="1"/>
        </xdr:cNvSpPr>
      </xdr:nvSpPr>
      <xdr:spPr bwMode="auto">
        <a:xfrm flipV="1">
          <a:off x="6067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38100</xdr:colOff>
      <xdr:row>55</xdr:row>
      <xdr:rowOff>160020</xdr:rowOff>
    </xdr:from>
    <xdr:to>
      <xdr:col>24</xdr:col>
      <xdr:colOff>236220</xdr:colOff>
      <xdr:row>56</xdr:row>
      <xdr:rowOff>45720</xdr:rowOff>
    </xdr:to>
    <xdr:sp macro="" textlink="">
      <xdr:nvSpPr>
        <xdr:cNvPr id="44" name="Line 5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>
          <a:spLocks noChangeShapeType="1"/>
        </xdr:cNvSpPr>
      </xdr:nvSpPr>
      <xdr:spPr bwMode="auto">
        <a:xfrm flipV="1">
          <a:off x="6305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38100</xdr:colOff>
      <xdr:row>55</xdr:row>
      <xdr:rowOff>160020</xdr:rowOff>
    </xdr:from>
    <xdr:to>
      <xdr:col>25</xdr:col>
      <xdr:colOff>236220</xdr:colOff>
      <xdr:row>56</xdr:row>
      <xdr:rowOff>45720</xdr:rowOff>
    </xdr:to>
    <xdr:sp macro="" textlink="">
      <xdr:nvSpPr>
        <xdr:cNvPr id="45" name="Line 5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>
          <a:spLocks noChangeShapeType="1"/>
        </xdr:cNvSpPr>
      </xdr:nvSpPr>
      <xdr:spPr bwMode="auto">
        <a:xfrm flipV="1">
          <a:off x="6543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38100</xdr:colOff>
      <xdr:row>55</xdr:row>
      <xdr:rowOff>160020</xdr:rowOff>
    </xdr:from>
    <xdr:to>
      <xdr:col>26</xdr:col>
      <xdr:colOff>236220</xdr:colOff>
      <xdr:row>56</xdr:row>
      <xdr:rowOff>45720</xdr:rowOff>
    </xdr:to>
    <xdr:sp macro="" textlink="">
      <xdr:nvSpPr>
        <xdr:cNvPr id="46" name="Line 5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>
          <a:spLocks noChangeShapeType="1"/>
        </xdr:cNvSpPr>
      </xdr:nvSpPr>
      <xdr:spPr bwMode="auto">
        <a:xfrm flipV="1">
          <a:off x="6781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38100</xdr:colOff>
      <xdr:row>55</xdr:row>
      <xdr:rowOff>160020</xdr:rowOff>
    </xdr:from>
    <xdr:to>
      <xdr:col>27</xdr:col>
      <xdr:colOff>236220</xdr:colOff>
      <xdr:row>56</xdr:row>
      <xdr:rowOff>45720</xdr:rowOff>
    </xdr:to>
    <xdr:sp macro="" textlink="">
      <xdr:nvSpPr>
        <xdr:cNvPr id="47" name="Line 5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>
          <a:spLocks noChangeShapeType="1"/>
        </xdr:cNvSpPr>
      </xdr:nvSpPr>
      <xdr:spPr bwMode="auto">
        <a:xfrm flipV="1">
          <a:off x="7019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38100</xdr:colOff>
      <xdr:row>55</xdr:row>
      <xdr:rowOff>160020</xdr:rowOff>
    </xdr:from>
    <xdr:to>
      <xdr:col>28</xdr:col>
      <xdr:colOff>236220</xdr:colOff>
      <xdr:row>56</xdr:row>
      <xdr:rowOff>45720</xdr:rowOff>
    </xdr:to>
    <xdr:sp macro="" textlink="">
      <xdr:nvSpPr>
        <xdr:cNvPr id="48" name="Line 5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>
          <a:spLocks noChangeShapeType="1"/>
        </xdr:cNvSpPr>
      </xdr:nvSpPr>
      <xdr:spPr bwMode="auto">
        <a:xfrm flipV="1">
          <a:off x="7258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38100</xdr:colOff>
      <xdr:row>55</xdr:row>
      <xdr:rowOff>160020</xdr:rowOff>
    </xdr:from>
    <xdr:to>
      <xdr:col>29</xdr:col>
      <xdr:colOff>236220</xdr:colOff>
      <xdr:row>56</xdr:row>
      <xdr:rowOff>45720</xdr:rowOff>
    </xdr:to>
    <xdr:sp macro="" textlink="">
      <xdr:nvSpPr>
        <xdr:cNvPr id="49" name="Line 5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>
          <a:spLocks noChangeShapeType="1"/>
        </xdr:cNvSpPr>
      </xdr:nvSpPr>
      <xdr:spPr bwMode="auto">
        <a:xfrm flipV="1">
          <a:off x="74961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38100</xdr:colOff>
      <xdr:row>55</xdr:row>
      <xdr:rowOff>160020</xdr:rowOff>
    </xdr:from>
    <xdr:to>
      <xdr:col>30</xdr:col>
      <xdr:colOff>236220</xdr:colOff>
      <xdr:row>56</xdr:row>
      <xdr:rowOff>45720</xdr:rowOff>
    </xdr:to>
    <xdr:sp macro="" textlink="">
      <xdr:nvSpPr>
        <xdr:cNvPr id="50" name="Line 5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>
          <a:spLocks noChangeShapeType="1"/>
        </xdr:cNvSpPr>
      </xdr:nvSpPr>
      <xdr:spPr bwMode="auto">
        <a:xfrm flipV="1">
          <a:off x="7734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38100</xdr:colOff>
      <xdr:row>55</xdr:row>
      <xdr:rowOff>160020</xdr:rowOff>
    </xdr:from>
    <xdr:to>
      <xdr:col>31</xdr:col>
      <xdr:colOff>236220</xdr:colOff>
      <xdr:row>56</xdr:row>
      <xdr:rowOff>45720</xdr:rowOff>
    </xdr:to>
    <xdr:sp macro="" textlink="">
      <xdr:nvSpPr>
        <xdr:cNvPr id="51" name="Line 6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>
          <a:spLocks noChangeShapeType="1"/>
        </xdr:cNvSpPr>
      </xdr:nvSpPr>
      <xdr:spPr bwMode="auto">
        <a:xfrm flipV="1">
          <a:off x="7972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38100</xdr:colOff>
      <xdr:row>55</xdr:row>
      <xdr:rowOff>160020</xdr:rowOff>
    </xdr:from>
    <xdr:to>
      <xdr:col>32</xdr:col>
      <xdr:colOff>236220</xdr:colOff>
      <xdr:row>56</xdr:row>
      <xdr:rowOff>45720</xdr:rowOff>
    </xdr:to>
    <xdr:sp macro="" textlink="">
      <xdr:nvSpPr>
        <xdr:cNvPr id="52" name="Line 6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>
          <a:spLocks noChangeShapeType="1"/>
        </xdr:cNvSpPr>
      </xdr:nvSpPr>
      <xdr:spPr bwMode="auto">
        <a:xfrm flipV="1">
          <a:off x="8210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38100</xdr:colOff>
      <xdr:row>55</xdr:row>
      <xdr:rowOff>160020</xdr:rowOff>
    </xdr:from>
    <xdr:to>
      <xdr:col>33</xdr:col>
      <xdr:colOff>236220</xdr:colOff>
      <xdr:row>56</xdr:row>
      <xdr:rowOff>45720</xdr:rowOff>
    </xdr:to>
    <xdr:sp macro="" textlink="">
      <xdr:nvSpPr>
        <xdr:cNvPr id="53" name="Line 6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>
          <a:spLocks noChangeShapeType="1"/>
        </xdr:cNvSpPr>
      </xdr:nvSpPr>
      <xdr:spPr bwMode="auto">
        <a:xfrm flipV="1">
          <a:off x="8448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38100</xdr:colOff>
      <xdr:row>55</xdr:row>
      <xdr:rowOff>160020</xdr:rowOff>
    </xdr:from>
    <xdr:to>
      <xdr:col>34</xdr:col>
      <xdr:colOff>236220</xdr:colOff>
      <xdr:row>56</xdr:row>
      <xdr:rowOff>45720</xdr:rowOff>
    </xdr:to>
    <xdr:sp macro="" textlink="">
      <xdr:nvSpPr>
        <xdr:cNvPr id="54" name="Line 6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>
          <a:spLocks noChangeShapeType="1"/>
        </xdr:cNvSpPr>
      </xdr:nvSpPr>
      <xdr:spPr bwMode="auto">
        <a:xfrm flipV="1">
          <a:off x="8686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38100</xdr:colOff>
      <xdr:row>55</xdr:row>
      <xdr:rowOff>160020</xdr:rowOff>
    </xdr:from>
    <xdr:to>
      <xdr:col>35</xdr:col>
      <xdr:colOff>236220</xdr:colOff>
      <xdr:row>56</xdr:row>
      <xdr:rowOff>45720</xdr:rowOff>
    </xdr:to>
    <xdr:sp macro="" textlink="">
      <xdr:nvSpPr>
        <xdr:cNvPr id="55" name="Line 6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>
          <a:spLocks noChangeShapeType="1"/>
        </xdr:cNvSpPr>
      </xdr:nvSpPr>
      <xdr:spPr bwMode="auto">
        <a:xfrm flipV="1">
          <a:off x="8924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38100</xdr:colOff>
      <xdr:row>55</xdr:row>
      <xdr:rowOff>160020</xdr:rowOff>
    </xdr:from>
    <xdr:to>
      <xdr:col>36</xdr:col>
      <xdr:colOff>236220</xdr:colOff>
      <xdr:row>56</xdr:row>
      <xdr:rowOff>45720</xdr:rowOff>
    </xdr:to>
    <xdr:sp macro="" textlink="">
      <xdr:nvSpPr>
        <xdr:cNvPr id="56" name="Line 6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>
          <a:spLocks noChangeShapeType="1"/>
        </xdr:cNvSpPr>
      </xdr:nvSpPr>
      <xdr:spPr bwMode="auto">
        <a:xfrm flipV="1">
          <a:off x="9163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65</xdr:row>
          <xdr:rowOff>114300</xdr:rowOff>
        </xdr:from>
        <xdr:to>
          <xdr:col>5</xdr:col>
          <xdr:colOff>142875</xdr:colOff>
          <xdr:row>67</xdr:row>
          <xdr:rowOff>114300</xdr:rowOff>
        </xdr:to>
        <xdr:sp macro="" textlink="">
          <xdr:nvSpPr>
            <xdr:cNvPr id="366593" name="Button 1" hidden="1">
              <a:extLst>
                <a:ext uri="{63B3BB69-23CF-44E3-9099-C40C66FF867C}">
                  <a14:compatExt spid="_x0000_s366593"/>
                </a:ext>
                <a:ext uri="{FF2B5EF4-FFF2-40B4-BE49-F238E27FC236}">
                  <a16:creationId xmlns:a16="http://schemas.microsoft.com/office/drawing/2014/main" id="{00000000-0008-0000-0700-000001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製図確認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762000</xdr:rowOff>
        </xdr:from>
        <xdr:to>
          <xdr:col>13</xdr:col>
          <xdr:colOff>476250</xdr:colOff>
          <xdr:row>1</xdr:row>
          <xdr:rowOff>1066800</xdr:rowOff>
        </xdr:to>
        <xdr:sp macro="" textlink="">
          <xdr:nvSpPr>
            <xdr:cNvPr id="366594" name="Button 2" hidden="1">
              <a:extLst>
                <a:ext uri="{63B3BB69-23CF-44E3-9099-C40C66FF867C}">
                  <a14:compatExt spid="_x0000_s366594"/>
                </a:ext>
                <a:ext uri="{FF2B5EF4-FFF2-40B4-BE49-F238E27FC236}">
                  <a16:creationId xmlns:a16="http://schemas.microsoft.com/office/drawing/2014/main" id="{00000000-0008-0000-0700-00000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○書き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419100</xdr:rowOff>
        </xdr:from>
        <xdr:to>
          <xdr:col>13</xdr:col>
          <xdr:colOff>476250</xdr:colOff>
          <xdr:row>1</xdr:row>
          <xdr:rowOff>723900</xdr:rowOff>
        </xdr:to>
        <xdr:sp macro="" textlink="">
          <xdr:nvSpPr>
            <xdr:cNvPr id="366595" name="Button 3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07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1000125</xdr:rowOff>
        </xdr:from>
        <xdr:to>
          <xdr:col>4</xdr:col>
          <xdr:colOff>133350</xdr:colOff>
          <xdr:row>1</xdr:row>
          <xdr:rowOff>1352550</xdr:rowOff>
        </xdr:to>
        <xdr:sp macro="" textlink="">
          <xdr:nvSpPr>
            <xdr:cNvPr id="366596" name="Button 4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07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標準明朝"/>
                  <a:ea typeface="標準明朝"/>
                </a:rPr>
                <a:t>範囲罫線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</xdr:row>
          <xdr:rowOff>1257300</xdr:rowOff>
        </xdr:from>
        <xdr:to>
          <xdr:col>12</xdr:col>
          <xdr:colOff>38100</xdr:colOff>
          <xdr:row>1</xdr:row>
          <xdr:rowOff>1524000</xdr:rowOff>
        </xdr:to>
        <xdr:sp macro="" textlink="">
          <xdr:nvSpPr>
            <xdr:cNvPr id="366597" name="Button 5" hidden="1">
              <a:extLst>
                <a:ext uri="{63B3BB69-23CF-44E3-9099-C40C66FF867C}">
                  <a14:compatExt spid="_x0000_s366597"/>
                </a:ext>
                <a:ext uri="{FF2B5EF4-FFF2-40B4-BE49-F238E27FC236}">
                  <a16:creationId xmlns:a16="http://schemas.microsoft.com/office/drawing/2014/main" id="{00000000-0008-0000-0700-000005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</xdr:row>
          <xdr:rowOff>1257300</xdr:rowOff>
        </xdr:from>
        <xdr:to>
          <xdr:col>13</xdr:col>
          <xdr:colOff>142875</xdr:colOff>
          <xdr:row>1</xdr:row>
          <xdr:rowOff>1524000</xdr:rowOff>
        </xdr:to>
        <xdr:sp macro="" textlink="">
          <xdr:nvSpPr>
            <xdr:cNvPr id="366598" name="Button 6" hidden="1">
              <a:extLst>
                <a:ext uri="{63B3BB69-23CF-44E3-9099-C40C66FF867C}">
                  <a14:compatExt spid="_x0000_s366598"/>
                </a:ext>
                <a:ext uri="{FF2B5EF4-FFF2-40B4-BE49-F238E27FC236}">
                  <a16:creationId xmlns:a16="http://schemas.microsoft.com/office/drawing/2014/main" id="{00000000-0008-0000-0700-000006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</xdr:row>
          <xdr:rowOff>1257300</xdr:rowOff>
        </xdr:from>
        <xdr:to>
          <xdr:col>13</xdr:col>
          <xdr:colOff>485775</xdr:colOff>
          <xdr:row>1</xdr:row>
          <xdr:rowOff>1524000</xdr:rowOff>
        </xdr:to>
        <xdr:sp macro="" textlink="">
          <xdr:nvSpPr>
            <xdr:cNvPr id="366599" name="Button 7" hidden="1">
              <a:extLst>
                <a:ext uri="{63B3BB69-23CF-44E3-9099-C40C66FF867C}">
                  <a14:compatExt spid="_x0000_s366599"/>
                </a:ext>
                <a:ext uri="{FF2B5EF4-FFF2-40B4-BE49-F238E27FC236}">
                  <a16:creationId xmlns:a16="http://schemas.microsoft.com/office/drawing/2014/main" id="{00000000-0008-0000-0700-000007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1257300</xdr:rowOff>
        </xdr:from>
        <xdr:to>
          <xdr:col>10</xdr:col>
          <xdr:colOff>200025</xdr:colOff>
          <xdr:row>1</xdr:row>
          <xdr:rowOff>1524000</xdr:rowOff>
        </xdr:to>
        <xdr:sp macro="" textlink="">
          <xdr:nvSpPr>
            <xdr:cNvPr id="366600" name="Button 8" hidden="1">
              <a:extLst>
                <a:ext uri="{63B3BB69-23CF-44E3-9099-C40C66FF867C}">
                  <a14:compatExt spid="_x0000_s366600"/>
                </a:ext>
                <a:ext uri="{FF2B5EF4-FFF2-40B4-BE49-F238E27FC236}">
                  <a16:creationId xmlns:a16="http://schemas.microsoft.com/office/drawing/2014/main" id="{00000000-0008-0000-0700-000008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Ｎ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190501</xdr:colOff>
      <xdr:row>16</xdr:row>
      <xdr:rowOff>9525</xdr:rowOff>
    </xdr:from>
    <xdr:to>
      <xdr:col>56</xdr:col>
      <xdr:colOff>200026</xdr:colOff>
      <xdr:row>17</xdr:row>
      <xdr:rowOff>190499</xdr:rowOff>
    </xdr:to>
    <xdr:sp macro="" textlink="">
      <xdr:nvSpPr>
        <xdr:cNvPr id="65" name="正方形/長方形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9553576" y="4705350"/>
          <a:ext cx="4533900" cy="371474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ja-JP" altLang="en-US" sz="1100"/>
            <a:t>全返品、一部返品のみの場合は対象外になるので、テスト実施しない</a:t>
          </a:r>
          <a:endParaRPr kumimoji="1" lang="en-US" altLang="ja-JP" sz="1100"/>
        </a:p>
      </xdr:txBody>
    </xdr:sp>
    <xdr:clientData/>
  </xdr:twoCellAnchor>
  <xdr:twoCellAnchor>
    <xdr:from>
      <xdr:col>38</xdr:col>
      <xdr:colOff>66675</xdr:colOff>
      <xdr:row>22</xdr:row>
      <xdr:rowOff>95250</xdr:rowOff>
    </xdr:from>
    <xdr:to>
      <xdr:col>53</xdr:col>
      <xdr:colOff>219075</xdr:colOff>
      <xdr:row>25</xdr:row>
      <xdr:rowOff>28575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9667875" y="6324600"/>
          <a:ext cx="3724275" cy="5048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ja-JP" altLang="en-US" sz="1100"/>
            <a:t>計算方法に問題無いことを確認しながらテスト実施する</a:t>
          </a:r>
          <a:endParaRPr kumimoji="1" lang="en-US" altLang="ja-JP" sz="1100"/>
        </a:p>
        <a:p>
          <a:pPr algn="l"/>
          <a:r>
            <a:rPr kumimoji="1" lang="en-US" altLang="ja-JP" sz="1100"/>
            <a:t>(</a:t>
          </a:r>
          <a:r>
            <a:rPr kumimoji="1" lang="ja-JP" altLang="en-US" sz="1100"/>
            <a:t>計算方法は、設計書を参考にする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37</xdr:col>
      <xdr:colOff>228600</xdr:colOff>
      <xdr:row>26</xdr:row>
      <xdr:rowOff>171450</xdr:rowOff>
    </xdr:from>
    <xdr:to>
      <xdr:col>57</xdr:col>
      <xdr:colOff>209550</xdr:colOff>
      <xdr:row>30</xdr:row>
      <xdr:rowOff>0</xdr:rowOff>
    </xdr:to>
    <xdr:sp macro="" textlink="">
      <xdr:nvSpPr>
        <xdr:cNvPr id="67" name="正方形/長方形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9591675" y="7162800"/>
          <a:ext cx="4743450" cy="5905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en-US" altLang="ja-JP" sz="1100"/>
            <a:t>CCL</a:t>
          </a:r>
          <a:r>
            <a:rPr kumimoji="1" lang="ja-JP" altLang="en-US" sz="1100"/>
            <a:t>作成者の想定では以下の様な挙動</a:t>
          </a:r>
          <a:endParaRPr kumimoji="1" lang="en-US" altLang="ja-JP" sz="1100"/>
        </a:p>
        <a:p>
          <a:pPr algn="l"/>
          <a:r>
            <a:rPr kumimoji="1" lang="ja-JP" altLang="en-US" sz="1100"/>
            <a:t>一致：</a:t>
          </a:r>
          <a:r>
            <a:rPr kumimoji="1" lang="en-US" altLang="ja-JP" sz="1100"/>
            <a:t>RMS</a:t>
          </a:r>
          <a:r>
            <a:rPr kumimoji="1" lang="ja-JP" altLang="en-US" sz="1100"/>
            <a:t>側でキャンセル申請を行わなずに、チェック実施</a:t>
          </a:r>
          <a:endParaRPr kumimoji="1" lang="en-US" altLang="ja-JP" sz="1100"/>
        </a:p>
        <a:p>
          <a:pPr algn="l"/>
          <a:r>
            <a:rPr kumimoji="1" lang="ja-JP" altLang="en-US" sz="1100"/>
            <a:t>不一致：</a:t>
          </a:r>
          <a:r>
            <a:rPr kumimoji="1" lang="en-US" altLang="ja-JP" sz="1100"/>
            <a:t>RMS</a:t>
          </a:r>
          <a:r>
            <a:rPr kumimoji="1" lang="ja-JP" altLang="en-US" sz="1100"/>
            <a:t>側で誤ってキャンセル申請を行って、チェック実施</a:t>
          </a:r>
          <a:endParaRPr kumimoji="1" lang="en-US" altLang="ja-JP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62</xdr:row>
      <xdr:rowOff>9525</xdr:rowOff>
    </xdr:from>
    <xdr:to>
      <xdr:col>14</xdr:col>
      <xdr:colOff>9525</xdr:colOff>
      <xdr:row>64</xdr:row>
      <xdr:rowOff>0</xdr:rowOff>
    </xdr:to>
    <xdr:sp macro="" textlink="">
      <xdr:nvSpPr>
        <xdr:cNvPr id="2" name="テキスト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152650" y="11934825"/>
          <a:ext cx="1743075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テスト仕様書番号</a:t>
          </a: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13</xdr:col>
      <xdr:colOff>0</xdr:colOff>
      <xdr:row>68</xdr:row>
      <xdr:rowOff>0</xdr:rowOff>
    </xdr:to>
    <xdr:sp macro="" textlink="">
      <xdr:nvSpPr>
        <xdr:cNvPr id="3" name="テキスト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2143125" y="12306300"/>
          <a:ext cx="952500" cy="762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確認日</a:t>
          </a:r>
        </a:p>
      </xdr:txBody>
    </xdr:sp>
    <xdr:clientData/>
  </xdr:twoCellAnchor>
  <xdr:twoCellAnchor>
    <xdr:from>
      <xdr:col>0</xdr:col>
      <xdr:colOff>0</xdr:colOff>
      <xdr:row>62</xdr:row>
      <xdr:rowOff>0</xdr:rowOff>
    </xdr:from>
    <xdr:to>
      <xdr:col>2</xdr:col>
      <xdr:colOff>219075</xdr:colOff>
      <xdr:row>65</xdr:row>
      <xdr:rowOff>180975</xdr:rowOff>
    </xdr:to>
    <xdr:sp macro="" textlink="">
      <xdr:nvSpPr>
        <xdr:cNvPr id="4" name="テキスト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0" y="11925300"/>
          <a:ext cx="695325" cy="752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ﾀｲﾄﾙ</a:t>
          </a:r>
        </a:p>
      </xdr:txBody>
    </xdr:sp>
    <xdr:clientData/>
  </xdr:twoCellAnchor>
  <xdr:twoCellAnchor>
    <xdr:from>
      <xdr:col>13</xdr:col>
      <xdr:colOff>0</xdr:colOff>
      <xdr:row>64</xdr:row>
      <xdr:rowOff>0</xdr:rowOff>
    </xdr:from>
    <xdr:to>
      <xdr:col>14</xdr:col>
      <xdr:colOff>0</xdr:colOff>
      <xdr:row>66</xdr:row>
      <xdr:rowOff>0</xdr:rowOff>
    </xdr:to>
    <xdr:sp macro="" textlink="">
      <xdr:nvSpPr>
        <xdr:cNvPr id="5" name="テキスト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rrowheads="1"/>
        </xdr:cNvSpPr>
      </xdr:nvSpPr>
      <xdr:spPr bwMode="auto">
        <a:xfrm>
          <a:off x="3095625" y="12306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机上</a:t>
          </a:r>
        </a:p>
      </xdr:txBody>
    </xdr:sp>
    <xdr:clientData/>
  </xdr:twoCellAnchor>
  <xdr:twoCellAnchor>
    <xdr:from>
      <xdr:col>13</xdr:col>
      <xdr:colOff>0</xdr:colOff>
      <xdr:row>66</xdr:row>
      <xdr:rowOff>0</xdr:rowOff>
    </xdr:from>
    <xdr:to>
      <xdr:col>14</xdr:col>
      <xdr:colOff>0</xdr:colOff>
      <xdr:row>68</xdr:row>
      <xdr:rowOff>0</xdr:rowOff>
    </xdr:to>
    <xdr:sp macro="" textlink="">
      <xdr:nvSpPr>
        <xdr:cNvPr id="6" name="テキスト 6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3095625" y="12687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マシン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13</xdr:col>
      <xdr:colOff>792480</xdr:colOff>
      <xdr:row>1</xdr:row>
      <xdr:rowOff>1706880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ShapeType="1"/>
        </xdr:cNvSpPr>
      </xdr:nvSpPr>
      <xdr:spPr bwMode="auto">
        <a:xfrm>
          <a:off x="0" y="314325"/>
          <a:ext cx="3888105" cy="170688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95250</xdr:colOff>
      <xdr:row>1</xdr:row>
      <xdr:rowOff>1419225</xdr:rowOff>
    </xdr:from>
    <xdr:to>
      <xdr:col>12</xdr:col>
      <xdr:colOff>152400</xdr:colOff>
      <xdr:row>1</xdr:row>
      <xdr:rowOff>1676400</xdr:rowOff>
    </xdr:to>
    <xdr:sp macro="" textlink="">
      <xdr:nvSpPr>
        <xdr:cNvPr id="8" name="テキスト 1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>
          <a:spLocks noChangeArrowheads="1"/>
        </xdr:cNvSpPr>
      </xdr:nvSpPr>
      <xdr:spPr bwMode="auto">
        <a:xfrm>
          <a:off x="95250" y="1733550"/>
          <a:ext cx="2914650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チェック条件／確認内容</a:t>
          </a:r>
        </a:p>
      </xdr:txBody>
    </xdr:sp>
    <xdr:clientData/>
  </xdr:twoCellAnchor>
  <xdr:twoCellAnchor>
    <xdr:from>
      <xdr:col>9</xdr:col>
      <xdr:colOff>76200</xdr:colOff>
      <xdr:row>1</xdr:row>
      <xdr:rowOff>123825</xdr:rowOff>
    </xdr:from>
    <xdr:to>
      <xdr:col>13</xdr:col>
      <xdr:colOff>653396</xdr:colOff>
      <xdr:row>1</xdr:row>
      <xdr:rowOff>333375</xdr:rowOff>
    </xdr:to>
    <xdr:sp macro="" textlink="">
      <xdr:nvSpPr>
        <xdr:cNvPr id="9" name="テキスト 1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>
          <a:spLocks noChangeArrowheads="1"/>
        </xdr:cNvSpPr>
      </xdr:nvSpPr>
      <xdr:spPr bwMode="auto">
        <a:xfrm>
          <a:off x="2219325" y="438150"/>
          <a:ext cx="1529696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チェックＩＤ</a:t>
          </a:r>
        </a:p>
      </xdr:txBody>
    </xdr:sp>
    <xdr:clientData/>
  </xdr:twoCellAnchor>
  <xdr:twoCellAnchor>
    <xdr:from>
      <xdr:col>28</xdr:col>
      <xdr:colOff>182880</xdr:colOff>
      <xdr:row>73</xdr:row>
      <xdr:rowOff>106680</xdr:rowOff>
    </xdr:from>
    <xdr:to>
      <xdr:col>29</xdr:col>
      <xdr:colOff>144780</xdr:colOff>
      <xdr:row>75</xdr:row>
      <xdr:rowOff>121920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ShapeType="1"/>
        </xdr:cNvSpPr>
      </xdr:nvSpPr>
      <xdr:spPr bwMode="auto">
        <a:xfrm flipV="1">
          <a:off x="7402830" y="14127480"/>
          <a:ext cx="200025" cy="3962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30480</xdr:colOff>
      <xdr:row>64</xdr:row>
      <xdr:rowOff>152400</xdr:rowOff>
    </xdr:from>
    <xdr:to>
      <xdr:col>14</xdr:col>
      <xdr:colOff>220980</xdr:colOff>
      <xdr:row>65</xdr:row>
      <xdr:rowOff>38100</xdr:rowOff>
    </xdr:to>
    <xdr:sp macro="" textlink="">
      <xdr:nvSpPr>
        <xdr:cNvPr id="11" name="Line 2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ShapeType="1"/>
        </xdr:cNvSpPr>
      </xdr:nvSpPr>
      <xdr:spPr bwMode="auto">
        <a:xfrm flipV="1">
          <a:off x="3916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30480</xdr:colOff>
      <xdr:row>64</xdr:row>
      <xdr:rowOff>152400</xdr:rowOff>
    </xdr:from>
    <xdr:to>
      <xdr:col>15</xdr:col>
      <xdr:colOff>220980</xdr:colOff>
      <xdr:row>65</xdr:row>
      <xdr:rowOff>38100</xdr:rowOff>
    </xdr:to>
    <xdr:sp macro="" textlink="">
      <xdr:nvSpPr>
        <xdr:cNvPr id="12" name="Line 2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ShapeType="1"/>
        </xdr:cNvSpPr>
      </xdr:nvSpPr>
      <xdr:spPr bwMode="auto">
        <a:xfrm flipV="1">
          <a:off x="4154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30480</xdr:colOff>
      <xdr:row>64</xdr:row>
      <xdr:rowOff>152400</xdr:rowOff>
    </xdr:from>
    <xdr:to>
      <xdr:col>16</xdr:col>
      <xdr:colOff>220980</xdr:colOff>
      <xdr:row>65</xdr:row>
      <xdr:rowOff>38100</xdr:rowOff>
    </xdr:to>
    <xdr:sp macro="" textlink="">
      <xdr:nvSpPr>
        <xdr:cNvPr id="13" name="Line 2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 flipV="1">
          <a:off x="4392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30480</xdr:colOff>
      <xdr:row>64</xdr:row>
      <xdr:rowOff>152400</xdr:rowOff>
    </xdr:from>
    <xdr:to>
      <xdr:col>17</xdr:col>
      <xdr:colOff>220980</xdr:colOff>
      <xdr:row>65</xdr:row>
      <xdr:rowOff>38100</xdr:rowOff>
    </xdr:to>
    <xdr:sp macro="" textlink="">
      <xdr:nvSpPr>
        <xdr:cNvPr id="14" name="Line 2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ShapeType="1"/>
        </xdr:cNvSpPr>
      </xdr:nvSpPr>
      <xdr:spPr bwMode="auto">
        <a:xfrm flipV="1">
          <a:off x="4631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30480</xdr:colOff>
      <xdr:row>64</xdr:row>
      <xdr:rowOff>152400</xdr:rowOff>
    </xdr:from>
    <xdr:to>
      <xdr:col>18</xdr:col>
      <xdr:colOff>220980</xdr:colOff>
      <xdr:row>65</xdr:row>
      <xdr:rowOff>38100</xdr:rowOff>
    </xdr:to>
    <xdr:sp macro="" textlink="">
      <xdr:nvSpPr>
        <xdr:cNvPr id="15" name="Line 2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ShapeType="1"/>
        </xdr:cNvSpPr>
      </xdr:nvSpPr>
      <xdr:spPr bwMode="auto">
        <a:xfrm flipV="1">
          <a:off x="4869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30480</xdr:colOff>
      <xdr:row>64</xdr:row>
      <xdr:rowOff>152400</xdr:rowOff>
    </xdr:from>
    <xdr:to>
      <xdr:col>19</xdr:col>
      <xdr:colOff>220980</xdr:colOff>
      <xdr:row>65</xdr:row>
      <xdr:rowOff>38100</xdr:rowOff>
    </xdr:to>
    <xdr:sp macro="" textlink="">
      <xdr:nvSpPr>
        <xdr:cNvPr id="16" name="Line 2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ShapeType="1"/>
        </xdr:cNvSpPr>
      </xdr:nvSpPr>
      <xdr:spPr bwMode="auto">
        <a:xfrm flipV="1">
          <a:off x="5107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30480</xdr:colOff>
      <xdr:row>64</xdr:row>
      <xdr:rowOff>152400</xdr:rowOff>
    </xdr:from>
    <xdr:to>
      <xdr:col>20</xdr:col>
      <xdr:colOff>220980</xdr:colOff>
      <xdr:row>65</xdr:row>
      <xdr:rowOff>38100</xdr:rowOff>
    </xdr:to>
    <xdr:sp macro="" textlink="">
      <xdr:nvSpPr>
        <xdr:cNvPr id="17" name="Line 2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ShapeType="1"/>
        </xdr:cNvSpPr>
      </xdr:nvSpPr>
      <xdr:spPr bwMode="auto">
        <a:xfrm flipV="1">
          <a:off x="5345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30480</xdr:colOff>
      <xdr:row>64</xdr:row>
      <xdr:rowOff>152400</xdr:rowOff>
    </xdr:from>
    <xdr:to>
      <xdr:col>21</xdr:col>
      <xdr:colOff>220980</xdr:colOff>
      <xdr:row>65</xdr:row>
      <xdr:rowOff>38100</xdr:rowOff>
    </xdr:to>
    <xdr:sp macro="" textlink="">
      <xdr:nvSpPr>
        <xdr:cNvPr id="18" name="Line 2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ShapeType="1"/>
        </xdr:cNvSpPr>
      </xdr:nvSpPr>
      <xdr:spPr bwMode="auto">
        <a:xfrm flipV="1">
          <a:off x="55835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30480</xdr:colOff>
      <xdr:row>64</xdr:row>
      <xdr:rowOff>152400</xdr:rowOff>
    </xdr:from>
    <xdr:to>
      <xdr:col>22</xdr:col>
      <xdr:colOff>220980</xdr:colOff>
      <xdr:row>65</xdr:row>
      <xdr:rowOff>38100</xdr:rowOff>
    </xdr:to>
    <xdr:sp macro="" textlink="">
      <xdr:nvSpPr>
        <xdr:cNvPr id="19" name="Line 2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ShapeType="1"/>
        </xdr:cNvSpPr>
      </xdr:nvSpPr>
      <xdr:spPr bwMode="auto">
        <a:xfrm flipV="1">
          <a:off x="5821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30480</xdr:colOff>
      <xdr:row>64</xdr:row>
      <xdr:rowOff>152400</xdr:rowOff>
    </xdr:from>
    <xdr:to>
      <xdr:col>23</xdr:col>
      <xdr:colOff>220980</xdr:colOff>
      <xdr:row>65</xdr:row>
      <xdr:rowOff>38100</xdr:rowOff>
    </xdr:to>
    <xdr:sp macro="" textlink="">
      <xdr:nvSpPr>
        <xdr:cNvPr id="20" name="Line 2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ShapeType="1"/>
        </xdr:cNvSpPr>
      </xdr:nvSpPr>
      <xdr:spPr bwMode="auto">
        <a:xfrm flipV="1">
          <a:off x="6059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30480</xdr:colOff>
      <xdr:row>64</xdr:row>
      <xdr:rowOff>152400</xdr:rowOff>
    </xdr:from>
    <xdr:to>
      <xdr:col>24</xdr:col>
      <xdr:colOff>220980</xdr:colOff>
      <xdr:row>65</xdr:row>
      <xdr:rowOff>38100</xdr:rowOff>
    </xdr:to>
    <xdr:sp macro="" textlink="">
      <xdr:nvSpPr>
        <xdr:cNvPr id="21" name="Line 3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ShapeType="1"/>
        </xdr:cNvSpPr>
      </xdr:nvSpPr>
      <xdr:spPr bwMode="auto">
        <a:xfrm flipV="1">
          <a:off x="6297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30480</xdr:colOff>
      <xdr:row>64</xdr:row>
      <xdr:rowOff>152400</xdr:rowOff>
    </xdr:from>
    <xdr:to>
      <xdr:col>25</xdr:col>
      <xdr:colOff>220980</xdr:colOff>
      <xdr:row>65</xdr:row>
      <xdr:rowOff>38100</xdr:rowOff>
    </xdr:to>
    <xdr:sp macro="" textlink="">
      <xdr:nvSpPr>
        <xdr:cNvPr id="22" name="Line 3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ShapeType="1"/>
        </xdr:cNvSpPr>
      </xdr:nvSpPr>
      <xdr:spPr bwMode="auto">
        <a:xfrm flipV="1">
          <a:off x="6536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30480</xdr:colOff>
      <xdr:row>64</xdr:row>
      <xdr:rowOff>152400</xdr:rowOff>
    </xdr:from>
    <xdr:to>
      <xdr:col>26</xdr:col>
      <xdr:colOff>220980</xdr:colOff>
      <xdr:row>65</xdr:row>
      <xdr:rowOff>38100</xdr:rowOff>
    </xdr:to>
    <xdr:sp macro="" textlink="">
      <xdr:nvSpPr>
        <xdr:cNvPr id="23" name="Line 3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ShapeType="1"/>
        </xdr:cNvSpPr>
      </xdr:nvSpPr>
      <xdr:spPr bwMode="auto">
        <a:xfrm flipV="1">
          <a:off x="6774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30480</xdr:colOff>
      <xdr:row>64</xdr:row>
      <xdr:rowOff>152400</xdr:rowOff>
    </xdr:from>
    <xdr:to>
      <xdr:col>27</xdr:col>
      <xdr:colOff>220980</xdr:colOff>
      <xdr:row>65</xdr:row>
      <xdr:rowOff>38100</xdr:rowOff>
    </xdr:to>
    <xdr:sp macro="" textlink="">
      <xdr:nvSpPr>
        <xdr:cNvPr id="24" name="Line 3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ShapeType="1"/>
        </xdr:cNvSpPr>
      </xdr:nvSpPr>
      <xdr:spPr bwMode="auto">
        <a:xfrm flipV="1">
          <a:off x="7012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30480</xdr:colOff>
      <xdr:row>64</xdr:row>
      <xdr:rowOff>152400</xdr:rowOff>
    </xdr:from>
    <xdr:to>
      <xdr:col>28</xdr:col>
      <xdr:colOff>220980</xdr:colOff>
      <xdr:row>65</xdr:row>
      <xdr:rowOff>38100</xdr:rowOff>
    </xdr:to>
    <xdr:sp macro="" textlink="">
      <xdr:nvSpPr>
        <xdr:cNvPr id="25" name="Line 3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ShapeType="1"/>
        </xdr:cNvSpPr>
      </xdr:nvSpPr>
      <xdr:spPr bwMode="auto">
        <a:xfrm flipV="1">
          <a:off x="7250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30480</xdr:colOff>
      <xdr:row>64</xdr:row>
      <xdr:rowOff>152400</xdr:rowOff>
    </xdr:from>
    <xdr:to>
      <xdr:col>29</xdr:col>
      <xdr:colOff>220980</xdr:colOff>
      <xdr:row>65</xdr:row>
      <xdr:rowOff>38100</xdr:rowOff>
    </xdr:to>
    <xdr:sp macro="" textlink="">
      <xdr:nvSpPr>
        <xdr:cNvPr id="26" name="Line 3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ShapeType="1"/>
        </xdr:cNvSpPr>
      </xdr:nvSpPr>
      <xdr:spPr bwMode="auto">
        <a:xfrm flipV="1">
          <a:off x="74885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30480</xdr:colOff>
      <xdr:row>64</xdr:row>
      <xdr:rowOff>152400</xdr:rowOff>
    </xdr:from>
    <xdr:to>
      <xdr:col>30</xdr:col>
      <xdr:colOff>220980</xdr:colOff>
      <xdr:row>65</xdr:row>
      <xdr:rowOff>38100</xdr:rowOff>
    </xdr:to>
    <xdr:sp macro="" textlink="">
      <xdr:nvSpPr>
        <xdr:cNvPr id="27" name="Line 3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ShapeType="1"/>
        </xdr:cNvSpPr>
      </xdr:nvSpPr>
      <xdr:spPr bwMode="auto">
        <a:xfrm flipV="1">
          <a:off x="77266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30480</xdr:colOff>
      <xdr:row>64</xdr:row>
      <xdr:rowOff>152400</xdr:rowOff>
    </xdr:from>
    <xdr:to>
      <xdr:col>31</xdr:col>
      <xdr:colOff>220980</xdr:colOff>
      <xdr:row>65</xdr:row>
      <xdr:rowOff>38100</xdr:rowOff>
    </xdr:to>
    <xdr:sp macro="" textlink="">
      <xdr:nvSpPr>
        <xdr:cNvPr id="28" name="Line 3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ShapeType="1"/>
        </xdr:cNvSpPr>
      </xdr:nvSpPr>
      <xdr:spPr bwMode="auto">
        <a:xfrm flipV="1">
          <a:off x="79648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30480</xdr:colOff>
      <xdr:row>64</xdr:row>
      <xdr:rowOff>152400</xdr:rowOff>
    </xdr:from>
    <xdr:to>
      <xdr:col>32</xdr:col>
      <xdr:colOff>220980</xdr:colOff>
      <xdr:row>65</xdr:row>
      <xdr:rowOff>38100</xdr:rowOff>
    </xdr:to>
    <xdr:sp macro="" textlink="">
      <xdr:nvSpPr>
        <xdr:cNvPr id="29" name="Line 3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ShapeType="1"/>
        </xdr:cNvSpPr>
      </xdr:nvSpPr>
      <xdr:spPr bwMode="auto">
        <a:xfrm flipV="1">
          <a:off x="82029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30480</xdr:colOff>
      <xdr:row>64</xdr:row>
      <xdr:rowOff>152400</xdr:rowOff>
    </xdr:from>
    <xdr:to>
      <xdr:col>33</xdr:col>
      <xdr:colOff>220980</xdr:colOff>
      <xdr:row>65</xdr:row>
      <xdr:rowOff>38100</xdr:rowOff>
    </xdr:to>
    <xdr:sp macro="" textlink="">
      <xdr:nvSpPr>
        <xdr:cNvPr id="30" name="Line 3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ShapeType="1"/>
        </xdr:cNvSpPr>
      </xdr:nvSpPr>
      <xdr:spPr bwMode="auto">
        <a:xfrm flipV="1">
          <a:off x="844105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30480</xdr:colOff>
      <xdr:row>64</xdr:row>
      <xdr:rowOff>152400</xdr:rowOff>
    </xdr:from>
    <xdr:to>
      <xdr:col>34</xdr:col>
      <xdr:colOff>220980</xdr:colOff>
      <xdr:row>65</xdr:row>
      <xdr:rowOff>38100</xdr:rowOff>
    </xdr:to>
    <xdr:sp macro="" textlink="">
      <xdr:nvSpPr>
        <xdr:cNvPr id="31" name="Line 4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ShapeType="1"/>
        </xdr:cNvSpPr>
      </xdr:nvSpPr>
      <xdr:spPr bwMode="auto">
        <a:xfrm flipV="1">
          <a:off x="867918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30480</xdr:colOff>
      <xdr:row>64</xdr:row>
      <xdr:rowOff>152400</xdr:rowOff>
    </xdr:from>
    <xdr:to>
      <xdr:col>35</xdr:col>
      <xdr:colOff>220980</xdr:colOff>
      <xdr:row>65</xdr:row>
      <xdr:rowOff>38100</xdr:rowOff>
    </xdr:to>
    <xdr:sp macro="" textlink="">
      <xdr:nvSpPr>
        <xdr:cNvPr id="32" name="Line 4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ShapeType="1"/>
        </xdr:cNvSpPr>
      </xdr:nvSpPr>
      <xdr:spPr bwMode="auto">
        <a:xfrm flipV="1">
          <a:off x="8917305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30480</xdr:colOff>
      <xdr:row>64</xdr:row>
      <xdr:rowOff>152400</xdr:rowOff>
    </xdr:from>
    <xdr:to>
      <xdr:col>36</xdr:col>
      <xdr:colOff>220980</xdr:colOff>
      <xdr:row>65</xdr:row>
      <xdr:rowOff>38100</xdr:rowOff>
    </xdr:to>
    <xdr:sp macro="" textlink="">
      <xdr:nvSpPr>
        <xdr:cNvPr id="33" name="Line 4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ShapeType="1"/>
        </xdr:cNvSpPr>
      </xdr:nvSpPr>
      <xdr:spPr bwMode="auto">
        <a:xfrm flipV="1">
          <a:off x="9155430" y="12458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38100</xdr:colOff>
      <xdr:row>66</xdr:row>
      <xdr:rowOff>160020</xdr:rowOff>
    </xdr:from>
    <xdr:to>
      <xdr:col>14</xdr:col>
      <xdr:colOff>236220</xdr:colOff>
      <xdr:row>67</xdr:row>
      <xdr:rowOff>45720</xdr:rowOff>
    </xdr:to>
    <xdr:sp macro="" textlink="">
      <xdr:nvSpPr>
        <xdr:cNvPr id="34" name="Line 4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ShapeType="1"/>
        </xdr:cNvSpPr>
      </xdr:nvSpPr>
      <xdr:spPr bwMode="auto">
        <a:xfrm flipV="1">
          <a:off x="3924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38100</xdr:colOff>
      <xdr:row>66</xdr:row>
      <xdr:rowOff>160020</xdr:rowOff>
    </xdr:from>
    <xdr:to>
      <xdr:col>15</xdr:col>
      <xdr:colOff>236220</xdr:colOff>
      <xdr:row>67</xdr:row>
      <xdr:rowOff>45720</xdr:rowOff>
    </xdr:to>
    <xdr:sp macro="" textlink="">
      <xdr:nvSpPr>
        <xdr:cNvPr id="35" name="Line 4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ShapeType="1"/>
        </xdr:cNvSpPr>
      </xdr:nvSpPr>
      <xdr:spPr bwMode="auto">
        <a:xfrm flipV="1">
          <a:off x="4162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38100</xdr:colOff>
      <xdr:row>66</xdr:row>
      <xdr:rowOff>160020</xdr:rowOff>
    </xdr:from>
    <xdr:to>
      <xdr:col>16</xdr:col>
      <xdr:colOff>236220</xdr:colOff>
      <xdr:row>67</xdr:row>
      <xdr:rowOff>45720</xdr:rowOff>
    </xdr:to>
    <xdr:sp macro="" textlink="">
      <xdr:nvSpPr>
        <xdr:cNvPr id="36" name="Line 4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ShapeType="1"/>
        </xdr:cNvSpPr>
      </xdr:nvSpPr>
      <xdr:spPr bwMode="auto">
        <a:xfrm flipV="1">
          <a:off x="4400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38100</xdr:colOff>
      <xdr:row>66</xdr:row>
      <xdr:rowOff>160020</xdr:rowOff>
    </xdr:from>
    <xdr:to>
      <xdr:col>17</xdr:col>
      <xdr:colOff>236220</xdr:colOff>
      <xdr:row>67</xdr:row>
      <xdr:rowOff>45720</xdr:rowOff>
    </xdr:to>
    <xdr:sp macro="" textlink="">
      <xdr:nvSpPr>
        <xdr:cNvPr id="37" name="Line 4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ShapeType="1"/>
        </xdr:cNvSpPr>
      </xdr:nvSpPr>
      <xdr:spPr bwMode="auto">
        <a:xfrm flipV="1">
          <a:off x="4638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38100</xdr:colOff>
      <xdr:row>66</xdr:row>
      <xdr:rowOff>160020</xdr:rowOff>
    </xdr:from>
    <xdr:to>
      <xdr:col>18</xdr:col>
      <xdr:colOff>236220</xdr:colOff>
      <xdr:row>67</xdr:row>
      <xdr:rowOff>45720</xdr:rowOff>
    </xdr:to>
    <xdr:sp macro="" textlink="">
      <xdr:nvSpPr>
        <xdr:cNvPr id="38" name="Line 4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ShapeType="1"/>
        </xdr:cNvSpPr>
      </xdr:nvSpPr>
      <xdr:spPr bwMode="auto">
        <a:xfrm flipV="1">
          <a:off x="4876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38100</xdr:colOff>
      <xdr:row>66</xdr:row>
      <xdr:rowOff>160020</xdr:rowOff>
    </xdr:from>
    <xdr:to>
      <xdr:col>19</xdr:col>
      <xdr:colOff>236220</xdr:colOff>
      <xdr:row>67</xdr:row>
      <xdr:rowOff>45720</xdr:rowOff>
    </xdr:to>
    <xdr:sp macro="" textlink="">
      <xdr:nvSpPr>
        <xdr:cNvPr id="39" name="Line 4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ShapeType="1"/>
        </xdr:cNvSpPr>
      </xdr:nvSpPr>
      <xdr:spPr bwMode="auto">
        <a:xfrm flipV="1">
          <a:off x="5114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38100</xdr:colOff>
      <xdr:row>66</xdr:row>
      <xdr:rowOff>160020</xdr:rowOff>
    </xdr:from>
    <xdr:to>
      <xdr:col>20</xdr:col>
      <xdr:colOff>236220</xdr:colOff>
      <xdr:row>67</xdr:row>
      <xdr:rowOff>45720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ShapeType="1"/>
        </xdr:cNvSpPr>
      </xdr:nvSpPr>
      <xdr:spPr bwMode="auto">
        <a:xfrm flipV="1">
          <a:off x="5353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38100</xdr:colOff>
      <xdr:row>66</xdr:row>
      <xdr:rowOff>160020</xdr:rowOff>
    </xdr:from>
    <xdr:to>
      <xdr:col>21</xdr:col>
      <xdr:colOff>236220</xdr:colOff>
      <xdr:row>67</xdr:row>
      <xdr:rowOff>45720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ShapeType="1"/>
        </xdr:cNvSpPr>
      </xdr:nvSpPr>
      <xdr:spPr bwMode="auto">
        <a:xfrm flipV="1">
          <a:off x="55911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38100</xdr:colOff>
      <xdr:row>66</xdr:row>
      <xdr:rowOff>160020</xdr:rowOff>
    </xdr:from>
    <xdr:to>
      <xdr:col>22</xdr:col>
      <xdr:colOff>236220</xdr:colOff>
      <xdr:row>67</xdr:row>
      <xdr:rowOff>45720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ShapeType="1"/>
        </xdr:cNvSpPr>
      </xdr:nvSpPr>
      <xdr:spPr bwMode="auto">
        <a:xfrm flipV="1">
          <a:off x="5829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38100</xdr:colOff>
      <xdr:row>66</xdr:row>
      <xdr:rowOff>160020</xdr:rowOff>
    </xdr:from>
    <xdr:to>
      <xdr:col>23</xdr:col>
      <xdr:colOff>236220</xdr:colOff>
      <xdr:row>67</xdr:row>
      <xdr:rowOff>45720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 noChangeShapeType="1"/>
        </xdr:cNvSpPr>
      </xdr:nvSpPr>
      <xdr:spPr bwMode="auto">
        <a:xfrm flipV="1">
          <a:off x="6067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38100</xdr:colOff>
      <xdr:row>66</xdr:row>
      <xdr:rowOff>160020</xdr:rowOff>
    </xdr:from>
    <xdr:to>
      <xdr:col>24</xdr:col>
      <xdr:colOff>236220</xdr:colOff>
      <xdr:row>67</xdr:row>
      <xdr:rowOff>45720</xdr:rowOff>
    </xdr:to>
    <xdr:sp macro="" textlink="">
      <xdr:nvSpPr>
        <xdr:cNvPr id="44" name="Line 5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 noChangeShapeType="1"/>
        </xdr:cNvSpPr>
      </xdr:nvSpPr>
      <xdr:spPr bwMode="auto">
        <a:xfrm flipV="1">
          <a:off x="6305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38100</xdr:colOff>
      <xdr:row>66</xdr:row>
      <xdr:rowOff>160020</xdr:rowOff>
    </xdr:from>
    <xdr:to>
      <xdr:col>25</xdr:col>
      <xdr:colOff>236220</xdr:colOff>
      <xdr:row>67</xdr:row>
      <xdr:rowOff>45720</xdr:rowOff>
    </xdr:to>
    <xdr:sp macro="" textlink="">
      <xdr:nvSpPr>
        <xdr:cNvPr id="45" name="Line 5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 noChangeShapeType="1"/>
        </xdr:cNvSpPr>
      </xdr:nvSpPr>
      <xdr:spPr bwMode="auto">
        <a:xfrm flipV="1">
          <a:off x="6543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38100</xdr:colOff>
      <xdr:row>66</xdr:row>
      <xdr:rowOff>160020</xdr:rowOff>
    </xdr:from>
    <xdr:to>
      <xdr:col>26</xdr:col>
      <xdr:colOff>236220</xdr:colOff>
      <xdr:row>67</xdr:row>
      <xdr:rowOff>45720</xdr:rowOff>
    </xdr:to>
    <xdr:sp macro="" textlink="">
      <xdr:nvSpPr>
        <xdr:cNvPr id="46" name="Line 5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 noChangeShapeType="1"/>
        </xdr:cNvSpPr>
      </xdr:nvSpPr>
      <xdr:spPr bwMode="auto">
        <a:xfrm flipV="1">
          <a:off x="6781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38100</xdr:colOff>
      <xdr:row>66</xdr:row>
      <xdr:rowOff>160020</xdr:rowOff>
    </xdr:from>
    <xdr:to>
      <xdr:col>27</xdr:col>
      <xdr:colOff>236220</xdr:colOff>
      <xdr:row>67</xdr:row>
      <xdr:rowOff>45720</xdr:rowOff>
    </xdr:to>
    <xdr:sp macro="" textlink="">
      <xdr:nvSpPr>
        <xdr:cNvPr id="47" name="Line 5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 noChangeShapeType="1"/>
        </xdr:cNvSpPr>
      </xdr:nvSpPr>
      <xdr:spPr bwMode="auto">
        <a:xfrm flipV="1">
          <a:off x="7019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38100</xdr:colOff>
      <xdr:row>66</xdr:row>
      <xdr:rowOff>160020</xdr:rowOff>
    </xdr:from>
    <xdr:to>
      <xdr:col>28</xdr:col>
      <xdr:colOff>236220</xdr:colOff>
      <xdr:row>67</xdr:row>
      <xdr:rowOff>45720</xdr:rowOff>
    </xdr:to>
    <xdr:sp macro="" textlink="">
      <xdr:nvSpPr>
        <xdr:cNvPr id="48" name="Line 5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ShapeType="1"/>
        </xdr:cNvSpPr>
      </xdr:nvSpPr>
      <xdr:spPr bwMode="auto">
        <a:xfrm flipV="1">
          <a:off x="7258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38100</xdr:colOff>
      <xdr:row>66</xdr:row>
      <xdr:rowOff>160020</xdr:rowOff>
    </xdr:from>
    <xdr:to>
      <xdr:col>29</xdr:col>
      <xdr:colOff>236220</xdr:colOff>
      <xdr:row>67</xdr:row>
      <xdr:rowOff>45720</xdr:rowOff>
    </xdr:to>
    <xdr:sp macro="" textlink="">
      <xdr:nvSpPr>
        <xdr:cNvPr id="49" name="Line 5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 noChangeShapeType="1"/>
        </xdr:cNvSpPr>
      </xdr:nvSpPr>
      <xdr:spPr bwMode="auto">
        <a:xfrm flipV="1">
          <a:off x="74961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38100</xdr:colOff>
      <xdr:row>66</xdr:row>
      <xdr:rowOff>160020</xdr:rowOff>
    </xdr:from>
    <xdr:to>
      <xdr:col>30</xdr:col>
      <xdr:colOff>236220</xdr:colOff>
      <xdr:row>67</xdr:row>
      <xdr:rowOff>45720</xdr:rowOff>
    </xdr:to>
    <xdr:sp macro="" textlink="">
      <xdr:nvSpPr>
        <xdr:cNvPr id="50" name="Line 5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 noChangeShapeType="1"/>
        </xdr:cNvSpPr>
      </xdr:nvSpPr>
      <xdr:spPr bwMode="auto">
        <a:xfrm flipV="1">
          <a:off x="77343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38100</xdr:colOff>
      <xdr:row>66</xdr:row>
      <xdr:rowOff>160020</xdr:rowOff>
    </xdr:from>
    <xdr:to>
      <xdr:col>31</xdr:col>
      <xdr:colOff>236220</xdr:colOff>
      <xdr:row>67</xdr:row>
      <xdr:rowOff>45720</xdr:rowOff>
    </xdr:to>
    <xdr:sp macro="" textlink="">
      <xdr:nvSpPr>
        <xdr:cNvPr id="51" name="Line 6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>
          <a:spLocks noChangeShapeType="1"/>
        </xdr:cNvSpPr>
      </xdr:nvSpPr>
      <xdr:spPr bwMode="auto">
        <a:xfrm flipV="1">
          <a:off x="79724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38100</xdr:colOff>
      <xdr:row>66</xdr:row>
      <xdr:rowOff>160020</xdr:rowOff>
    </xdr:from>
    <xdr:to>
      <xdr:col>32</xdr:col>
      <xdr:colOff>236220</xdr:colOff>
      <xdr:row>67</xdr:row>
      <xdr:rowOff>45720</xdr:rowOff>
    </xdr:to>
    <xdr:sp macro="" textlink="">
      <xdr:nvSpPr>
        <xdr:cNvPr id="52" name="Line 6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>
          <a:spLocks noChangeShapeType="1"/>
        </xdr:cNvSpPr>
      </xdr:nvSpPr>
      <xdr:spPr bwMode="auto">
        <a:xfrm flipV="1">
          <a:off x="82105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38100</xdr:colOff>
      <xdr:row>66</xdr:row>
      <xdr:rowOff>160020</xdr:rowOff>
    </xdr:from>
    <xdr:to>
      <xdr:col>33</xdr:col>
      <xdr:colOff>236220</xdr:colOff>
      <xdr:row>67</xdr:row>
      <xdr:rowOff>45720</xdr:rowOff>
    </xdr:to>
    <xdr:sp macro="" textlink="">
      <xdr:nvSpPr>
        <xdr:cNvPr id="53" name="Line 6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>
          <a:spLocks noChangeShapeType="1"/>
        </xdr:cNvSpPr>
      </xdr:nvSpPr>
      <xdr:spPr bwMode="auto">
        <a:xfrm flipV="1">
          <a:off x="844867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38100</xdr:colOff>
      <xdr:row>66</xdr:row>
      <xdr:rowOff>160020</xdr:rowOff>
    </xdr:from>
    <xdr:to>
      <xdr:col>34</xdr:col>
      <xdr:colOff>236220</xdr:colOff>
      <xdr:row>67</xdr:row>
      <xdr:rowOff>45720</xdr:rowOff>
    </xdr:to>
    <xdr:sp macro="" textlink="">
      <xdr:nvSpPr>
        <xdr:cNvPr id="54" name="Line 6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>
          <a:spLocks noChangeShapeType="1"/>
        </xdr:cNvSpPr>
      </xdr:nvSpPr>
      <xdr:spPr bwMode="auto">
        <a:xfrm flipV="1">
          <a:off x="868680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38100</xdr:colOff>
      <xdr:row>66</xdr:row>
      <xdr:rowOff>160020</xdr:rowOff>
    </xdr:from>
    <xdr:to>
      <xdr:col>35</xdr:col>
      <xdr:colOff>236220</xdr:colOff>
      <xdr:row>67</xdr:row>
      <xdr:rowOff>45720</xdr:rowOff>
    </xdr:to>
    <xdr:sp macro="" textlink="">
      <xdr:nvSpPr>
        <xdr:cNvPr id="55" name="Line 6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>
          <a:spLocks noChangeShapeType="1"/>
        </xdr:cNvSpPr>
      </xdr:nvSpPr>
      <xdr:spPr bwMode="auto">
        <a:xfrm flipV="1">
          <a:off x="8924925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38100</xdr:colOff>
      <xdr:row>66</xdr:row>
      <xdr:rowOff>160020</xdr:rowOff>
    </xdr:from>
    <xdr:to>
      <xdr:col>36</xdr:col>
      <xdr:colOff>236220</xdr:colOff>
      <xdr:row>67</xdr:row>
      <xdr:rowOff>45720</xdr:rowOff>
    </xdr:to>
    <xdr:sp macro="" textlink="">
      <xdr:nvSpPr>
        <xdr:cNvPr id="56" name="Line 6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>
          <a:spLocks noChangeShapeType="1"/>
        </xdr:cNvSpPr>
      </xdr:nvSpPr>
      <xdr:spPr bwMode="auto">
        <a:xfrm flipV="1">
          <a:off x="9163050" y="12847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76</xdr:row>
          <xdr:rowOff>114300</xdr:rowOff>
        </xdr:from>
        <xdr:to>
          <xdr:col>5</xdr:col>
          <xdr:colOff>142875</xdr:colOff>
          <xdr:row>78</xdr:row>
          <xdr:rowOff>114300</xdr:rowOff>
        </xdr:to>
        <xdr:sp macro="" textlink="">
          <xdr:nvSpPr>
            <xdr:cNvPr id="367617" name="Button 1" hidden="1">
              <a:extLst>
                <a:ext uri="{63B3BB69-23CF-44E3-9099-C40C66FF867C}">
                  <a14:compatExt spid="_x0000_s367617"/>
                </a:ext>
                <a:ext uri="{FF2B5EF4-FFF2-40B4-BE49-F238E27FC236}">
                  <a16:creationId xmlns:a16="http://schemas.microsoft.com/office/drawing/2014/main" id="{00000000-0008-0000-0800-000001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製図確認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762000</xdr:rowOff>
        </xdr:from>
        <xdr:to>
          <xdr:col>13</xdr:col>
          <xdr:colOff>476250</xdr:colOff>
          <xdr:row>1</xdr:row>
          <xdr:rowOff>1066800</xdr:rowOff>
        </xdr:to>
        <xdr:sp macro="" textlink="">
          <xdr:nvSpPr>
            <xdr:cNvPr id="367618" name="Button 2" hidden="1">
              <a:extLst>
                <a:ext uri="{63B3BB69-23CF-44E3-9099-C40C66FF867C}">
                  <a14:compatExt spid="_x0000_s367618"/>
                </a:ext>
                <a:ext uri="{FF2B5EF4-FFF2-40B4-BE49-F238E27FC236}">
                  <a16:creationId xmlns:a16="http://schemas.microsoft.com/office/drawing/2014/main" id="{00000000-0008-0000-0800-000002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○書き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419100</xdr:rowOff>
        </xdr:from>
        <xdr:to>
          <xdr:col>13</xdr:col>
          <xdr:colOff>476250</xdr:colOff>
          <xdr:row>1</xdr:row>
          <xdr:rowOff>723900</xdr:rowOff>
        </xdr:to>
        <xdr:sp macro="" textlink="">
          <xdr:nvSpPr>
            <xdr:cNvPr id="367619" name="Button 3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08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1000125</xdr:rowOff>
        </xdr:from>
        <xdr:to>
          <xdr:col>4</xdr:col>
          <xdr:colOff>133350</xdr:colOff>
          <xdr:row>1</xdr:row>
          <xdr:rowOff>1352550</xdr:rowOff>
        </xdr:to>
        <xdr:sp macro="" textlink="">
          <xdr:nvSpPr>
            <xdr:cNvPr id="367620" name="Button 4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08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標準明朝"/>
                  <a:ea typeface="標準明朝"/>
                </a:rPr>
                <a:t>範囲罫線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</xdr:row>
          <xdr:rowOff>1257300</xdr:rowOff>
        </xdr:from>
        <xdr:to>
          <xdr:col>12</xdr:col>
          <xdr:colOff>38100</xdr:colOff>
          <xdr:row>1</xdr:row>
          <xdr:rowOff>1524000</xdr:rowOff>
        </xdr:to>
        <xdr:sp macro="" textlink="">
          <xdr:nvSpPr>
            <xdr:cNvPr id="367621" name="Button 5" hidden="1">
              <a:extLst>
                <a:ext uri="{63B3BB69-23CF-44E3-9099-C40C66FF867C}">
                  <a14:compatExt spid="_x0000_s367621"/>
                </a:ext>
                <a:ext uri="{FF2B5EF4-FFF2-40B4-BE49-F238E27FC236}">
                  <a16:creationId xmlns:a16="http://schemas.microsoft.com/office/drawing/2014/main" id="{00000000-0008-0000-0800-000005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</xdr:row>
          <xdr:rowOff>1257300</xdr:rowOff>
        </xdr:from>
        <xdr:to>
          <xdr:col>13</xdr:col>
          <xdr:colOff>142875</xdr:colOff>
          <xdr:row>1</xdr:row>
          <xdr:rowOff>1524000</xdr:rowOff>
        </xdr:to>
        <xdr:sp macro="" textlink="">
          <xdr:nvSpPr>
            <xdr:cNvPr id="367622" name="Button 6" hidden="1">
              <a:extLst>
                <a:ext uri="{63B3BB69-23CF-44E3-9099-C40C66FF867C}">
                  <a14:compatExt spid="_x0000_s367622"/>
                </a:ext>
                <a:ext uri="{FF2B5EF4-FFF2-40B4-BE49-F238E27FC236}">
                  <a16:creationId xmlns:a16="http://schemas.microsoft.com/office/drawing/2014/main" id="{00000000-0008-0000-0800-000006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</xdr:row>
          <xdr:rowOff>1257300</xdr:rowOff>
        </xdr:from>
        <xdr:to>
          <xdr:col>13</xdr:col>
          <xdr:colOff>485775</xdr:colOff>
          <xdr:row>1</xdr:row>
          <xdr:rowOff>1524000</xdr:rowOff>
        </xdr:to>
        <xdr:sp macro="" textlink="">
          <xdr:nvSpPr>
            <xdr:cNvPr id="367623" name="Button 7" hidden="1">
              <a:extLst>
                <a:ext uri="{63B3BB69-23CF-44E3-9099-C40C66FF867C}">
                  <a14:compatExt spid="_x0000_s367623"/>
                </a:ext>
                <a:ext uri="{FF2B5EF4-FFF2-40B4-BE49-F238E27FC236}">
                  <a16:creationId xmlns:a16="http://schemas.microsoft.com/office/drawing/2014/main" id="{00000000-0008-0000-0800-000007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1257300</xdr:rowOff>
        </xdr:from>
        <xdr:to>
          <xdr:col>10</xdr:col>
          <xdr:colOff>200025</xdr:colOff>
          <xdr:row>1</xdr:row>
          <xdr:rowOff>1524000</xdr:rowOff>
        </xdr:to>
        <xdr:sp macro="" textlink="">
          <xdr:nvSpPr>
            <xdr:cNvPr id="367624" name="Button 8" hidden="1">
              <a:extLst>
                <a:ext uri="{63B3BB69-23CF-44E3-9099-C40C66FF867C}">
                  <a14:compatExt spid="_x0000_s367624"/>
                </a:ext>
                <a:ext uri="{FF2B5EF4-FFF2-40B4-BE49-F238E27FC236}">
                  <a16:creationId xmlns:a16="http://schemas.microsoft.com/office/drawing/2014/main" id="{00000000-0008-0000-0800-000008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Ｎ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142875</xdr:colOff>
      <xdr:row>33</xdr:row>
      <xdr:rowOff>114300</xdr:rowOff>
    </xdr:from>
    <xdr:to>
      <xdr:col>53</xdr:col>
      <xdr:colOff>57150</xdr:colOff>
      <xdr:row>35</xdr:row>
      <xdr:rowOff>238125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9505950" y="6724650"/>
          <a:ext cx="3724275" cy="5048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ja-JP" altLang="en-US" sz="1100"/>
            <a:t>計算方法に問題無いことを確認しながらテスト実施する</a:t>
          </a:r>
          <a:endParaRPr kumimoji="1" lang="en-US" altLang="ja-JP" sz="1100"/>
        </a:p>
        <a:p>
          <a:pPr algn="l"/>
          <a:r>
            <a:rPr kumimoji="1" lang="en-US" altLang="ja-JP" sz="1100"/>
            <a:t>(</a:t>
          </a:r>
          <a:r>
            <a:rPr kumimoji="1" lang="ja-JP" altLang="en-US" sz="1100"/>
            <a:t>計算方法は、設計書を参考にする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38</xdr:col>
      <xdr:colOff>19050</xdr:colOff>
      <xdr:row>39</xdr:row>
      <xdr:rowOff>114300</xdr:rowOff>
    </xdr:from>
    <xdr:to>
      <xdr:col>58</xdr:col>
      <xdr:colOff>0</xdr:colOff>
      <xdr:row>42</xdr:row>
      <xdr:rowOff>133350</xdr:rowOff>
    </xdr:to>
    <xdr:sp macro="" textlink="">
      <xdr:nvSpPr>
        <xdr:cNvPr id="67" name="正方形/長方形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9620250" y="8229600"/>
          <a:ext cx="4743450" cy="5905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en-US" altLang="ja-JP" sz="1100"/>
            <a:t>CCL</a:t>
          </a:r>
          <a:r>
            <a:rPr kumimoji="1" lang="ja-JP" altLang="en-US" sz="1100"/>
            <a:t>作成者の想定では以下の様な挙動</a:t>
          </a:r>
          <a:endParaRPr kumimoji="1" lang="en-US" altLang="ja-JP" sz="1100"/>
        </a:p>
        <a:p>
          <a:pPr algn="l"/>
          <a:r>
            <a:rPr kumimoji="1" lang="ja-JP" altLang="en-US" sz="1100"/>
            <a:t>一致：</a:t>
          </a:r>
          <a:r>
            <a:rPr kumimoji="1" lang="en-US" altLang="ja-JP" sz="1100"/>
            <a:t>RMS</a:t>
          </a:r>
          <a:r>
            <a:rPr kumimoji="1" lang="ja-JP" altLang="en-US" sz="1100"/>
            <a:t>側でキャンセル申請を行わなずに、チェック実施</a:t>
          </a:r>
          <a:endParaRPr kumimoji="1" lang="en-US" altLang="ja-JP" sz="1100"/>
        </a:p>
        <a:p>
          <a:pPr algn="l"/>
          <a:r>
            <a:rPr kumimoji="1" lang="ja-JP" altLang="en-US" sz="1100"/>
            <a:t>不一致：</a:t>
          </a:r>
          <a:r>
            <a:rPr kumimoji="1" lang="en-US" altLang="ja-JP" sz="1100"/>
            <a:t>RMS</a:t>
          </a:r>
          <a:r>
            <a:rPr kumimoji="1" lang="ja-JP" altLang="en-US" sz="1100"/>
            <a:t>側で誤ってキャンセル申請を行って、チェック実施</a:t>
          </a:r>
          <a:endParaRPr kumimoji="1" lang="en-US" altLang="ja-JP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62</xdr:row>
      <xdr:rowOff>9525</xdr:rowOff>
    </xdr:from>
    <xdr:to>
      <xdr:col>14</xdr:col>
      <xdr:colOff>9525</xdr:colOff>
      <xdr:row>64</xdr:row>
      <xdr:rowOff>0</xdr:rowOff>
    </xdr:to>
    <xdr:sp macro="" textlink="">
      <xdr:nvSpPr>
        <xdr:cNvPr id="2" name="テキスト 1">
          <a:extLst>
            <a:ext uri="{FF2B5EF4-FFF2-40B4-BE49-F238E27FC236}">
              <a16:creationId xmlns:a16="http://schemas.microsoft.com/office/drawing/2014/main" id="{D47DC005-9337-49C9-BABD-515547F9ACF0}"/>
            </a:ext>
          </a:extLst>
        </xdr:cNvPr>
        <xdr:cNvSpPr txBox="1">
          <a:spLocks noChangeArrowheads="1"/>
        </xdr:cNvSpPr>
      </xdr:nvSpPr>
      <xdr:spPr bwMode="auto">
        <a:xfrm>
          <a:off x="2152650" y="14220825"/>
          <a:ext cx="1743075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テスト仕様書番号</a:t>
          </a: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13</xdr:col>
      <xdr:colOff>0</xdr:colOff>
      <xdr:row>68</xdr:row>
      <xdr:rowOff>0</xdr:rowOff>
    </xdr:to>
    <xdr:sp macro="" textlink="">
      <xdr:nvSpPr>
        <xdr:cNvPr id="3" name="テキスト 2">
          <a:extLst>
            <a:ext uri="{FF2B5EF4-FFF2-40B4-BE49-F238E27FC236}">
              <a16:creationId xmlns:a16="http://schemas.microsoft.com/office/drawing/2014/main" id="{046D66BD-AE1D-4D86-9CF2-E63ED0611FE3}"/>
            </a:ext>
          </a:extLst>
        </xdr:cNvPr>
        <xdr:cNvSpPr txBox="1">
          <a:spLocks noChangeArrowheads="1"/>
        </xdr:cNvSpPr>
      </xdr:nvSpPr>
      <xdr:spPr bwMode="auto">
        <a:xfrm>
          <a:off x="2143125" y="14592300"/>
          <a:ext cx="952500" cy="762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確認日</a:t>
          </a:r>
        </a:p>
      </xdr:txBody>
    </xdr:sp>
    <xdr:clientData/>
  </xdr:twoCellAnchor>
  <xdr:twoCellAnchor>
    <xdr:from>
      <xdr:col>0</xdr:col>
      <xdr:colOff>0</xdr:colOff>
      <xdr:row>62</xdr:row>
      <xdr:rowOff>0</xdr:rowOff>
    </xdr:from>
    <xdr:to>
      <xdr:col>2</xdr:col>
      <xdr:colOff>219075</xdr:colOff>
      <xdr:row>65</xdr:row>
      <xdr:rowOff>180975</xdr:rowOff>
    </xdr:to>
    <xdr:sp macro="" textlink="">
      <xdr:nvSpPr>
        <xdr:cNvPr id="4" name="テキスト 3">
          <a:extLst>
            <a:ext uri="{FF2B5EF4-FFF2-40B4-BE49-F238E27FC236}">
              <a16:creationId xmlns:a16="http://schemas.microsoft.com/office/drawing/2014/main" id="{1A17A5FD-E987-4CF3-870F-838FA5DAD300}"/>
            </a:ext>
          </a:extLst>
        </xdr:cNvPr>
        <xdr:cNvSpPr txBox="1">
          <a:spLocks noChangeArrowheads="1"/>
        </xdr:cNvSpPr>
      </xdr:nvSpPr>
      <xdr:spPr bwMode="auto">
        <a:xfrm>
          <a:off x="0" y="14211300"/>
          <a:ext cx="695325" cy="752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ﾀｲﾄﾙ</a:t>
          </a:r>
        </a:p>
      </xdr:txBody>
    </xdr:sp>
    <xdr:clientData/>
  </xdr:twoCellAnchor>
  <xdr:twoCellAnchor>
    <xdr:from>
      <xdr:col>13</xdr:col>
      <xdr:colOff>0</xdr:colOff>
      <xdr:row>64</xdr:row>
      <xdr:rowOff>0</xdr:rowOff>
    </xdr:from>
    <xdr:to>
      <xdr:col>14</xdr:col>
      <xdr:colOff>0</xdr:colOff>
      <xdr:row>66</xdr:row>
      <xdr:rowOff>0</xdr:rowOff>
    </xdr:to>
    <xdr:sp macro="" textlink="">
      <xdr:nvSpPr>
        <xdr:cNvPr id="5" name="テキスト 4">
          <a:extLst>
            <a:ext uri="{FF2B5EF4-FFF2-40B4-BE49-F238E27FC236}">
              <a16:creationId xmlns:a16="http://schemas.microsoft.com/office/drawing/2014/main" id="{756C1FFD-3FF8-4907-85A7-F07DF4117980}"/>
            </a:ext>
          </a:extLst>
        </xdr:cNvPr>
        <xdr:cNvSpPr txBox="1">
          <a:spLocks noChangeArrowheads="1"/>
        </xdr:cNvSpPr>
      </xdr:nvSpPr>
      <xdr:spPr bwMode="auto">
        <a:xfrm>
          <a:off x="3095625" y="14592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机上</a:t>
          </a:r>
        </a:p>
      </xdr:txBody>
    </xdr:sp>
    <xdr:clientData/>
  </xdr:twoCellAnchor>
  <xdr:twoCellAnchor>
    <xdr:from>
      <xdr:col>13</xdr:col>
      <xdr:colOff>0</xdr:colOff>
      <xdr:row>66</xdr:row>
      <xdr:rowOff>0</xdr:rowOff>
    </xdr:from>
    <xdr:to>
      <xdr:col>14</xdr:col>
      <xdr:colOff>0</xdr:colOff>
      <xdr:row>68</xdr:row>
      <xdr:rowOff>0</xdr:rowOff>
    </xdr:to>
    <xdr:sp macro="" textlink="">
      <xdr:nvSpPr>
        <xdr:cNvPr id="6" name="テキスト 6">
          <a:extLst>
            <a:ext uri="{FF2B5EF4-FFF2-40B4-BE49-F238E27FC236}">
              <a16:creationId xmlns:a16="http://schemas.microsoft.com/office/drawing/2014/main" id="{ED5617B8-EF7D-4E3C-8E33-F6493FBA5D67}"/>
            </a:ext>
          </a:extLst>
        </xdr:cNvPr>
        <xdr:cNvSpPr txBox="1">
          <a:spLocks noChangeArrowheads="1"/>
        </xdr:cNvSpPr>
      </xdr:nvSpPr>
      <xdr:spPr bwMode="auto">
        <a:xfrm>
          <a:off x="3095625" y="14973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マシン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13</xdr:col>
      <xdr:colOff>792480</xdr:colOff>
      <xdr:row>1</xdr:row>
      <xdr:rowOff>1706880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A06CE2C9-D664-49D6-AA2F-080E2EACC57C}"/>
            </a:ext>
          </a:extLst>
        </xdr:cNvPr>
        <xdr:cNvSpPr>
          <a:spLocks noChangeShapeType="1"/>
        </xdr:cNvSpPr>
      </xdr:nvSpPr>
      <xdr:spPr bwMode="auto">
        <a:xfrm>
          <a:off x="0" y="314325"/>
          <a:ext cx="3888105" cy="170688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95250</xdr:colOff>
      <xdr:row>1</xdr:row>
      <xdr:rowOff>1419225</xdr:rowOff>
    </xdr:from>
    <xdr:to>
      <xdr:col>12</xdr:col>
      <xdr:colOff>152400</xdr:colOff>
      <xdr:row>1</xdr:row>
      <xdr:rowOff>1676400</xdr:rowOff>
    </xdr:to>
    <xdr:sp macro="" textlink="">
      <xdr:nvSpPr>
        <xdr:cNvPr id="8" name="テキスト 11">
          <a:extLst>
            <a:ext uri="{FF2B5EF4-FFF2-40B4-BE49-F238E27FC236}">
              <a16:creationId xmlns:a16="http://schemas.microsoft.com/office/drawing/2014/main" id="{A625B546-B993-4014-A781-8AE4D1626E4C}"/>
            </a:ext>
          </a:extLst>
        </xdr:cNvPr>
        <xdr:cNvSpPr txBox="1">
          <a:spLocks noChangeArrowheads="1"/>
        </xdr:cNvSpPr>
      </xdr:nvSpPr>
      <xdr:spPr bwMode="auto">
        <a:xfrm>
          <a:off x="95250" y="1733550"/>
          <a:ext cx="2914650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チェック条件／確認内容</a:t>
          </a:r>
        </a:p>
      </xdr:txBody>
    </xdr:sp>
    <xdr:clientData/>
  </xdr:twoCellAnchor>
  <xdr:twoCellAnchor>
    <xdr:from>
      <xdr:col>9</xdr:col>
      <xdr:colOff>76200</xdr:colOff>
      <xdr:row>1</xdr:row>
      <xdr:rowOff>123825</xdr:rowOff>
    </xdr:from>
    <xdr:to>
      <xdr:col>13</xdr:col>
      <xdr:colOff>653396</xdr:colOff>
      <xdr:row>1</xdr:row>
      <xdr:rowOff>333375</xdr:rowOff>
    </xdr:to>
    <xdr:sp macro="" textlink="">
      <xdr:nvSpPr>
        <xdr:cNvPr id="9" name="テキスト 12">
          <a:extLst>
            <a:ext uri="{FF2B5EF4-FFF2-40B4-BE49-F238E27FC236}">
              <a16:creationId xmlns:a16="http://schemas.microsoft.com/office/drawing/2014/main" id="{6C1B07EA-FED3-434F-9596-419AB322DAF8}"/>
            </a:ext>
          </a:extLst>
        </xdr:cNvPr>
        <xdr:cNvSpPr txBox="1">
          <a:spLocks noChangeArrowheads="1"/>
        </xdr:cNvSpPr>
      </xdr:nvSpPr>
      <xdr:spPr bwMode="auto">
        <a:xfrm>
          <a:off x="2219325" y="438150"/>
          <a:ext cx="1529696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チェックＩＤ</a:t>
          </a:r>
        </a:p>
      </xdr:txBody>
    </xdr:sp>
    <xdr:clientData/>
  </xdr:twoCellAnchor>
  <xdr:twoCellAnchor>
    <xdr:from>
      <xdr:col>28</xdr:col>
      <xdr:colOff>182880</xdr:colOff>
      <xdr:row>73</xdr:row>
      <xdr:rowOff>106680</xdr:rowOff>
    </xdr:from>
    <xdr:to>
      <xdr:col>29</xdr:col>
      <xdr:colOff>144780</xdr:colOff>
      <xdr:row>75</xdr:row>
      <xdr:rowOff>121920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77BC3B81-CC85-46B4-B75F-E05BC9783557}"/>
            </a:ext>
          </a:extLst>
        </xdr:cNvPr>
        <xdr:cNvSpPr>
          <a:spLocks noChangeShapeType="1"/>
        </xdr:cNvSpPr>
      </xdr:nvSpPr>
      <xdr:spPr bwMode="auto">
        <a:xfrm flipV="1">
          <a:off x="7402830" y="16413480"/>
          <a:ext cx="200025" cy="3962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30480</xdr:colOff>
      <xdr:row>64</xdr:row>
      <xdr:rowOff>152400</xdr:rowOff>
    </xdr:from>
    <xdr:to>
      <xdr:col>14</xdr:col>
      <xdr:colOff>220980</xdr:colOff>
      <xdr:row>65</xdr:row>
      <xdr:rowOff>38100</xdr:rowOff>
    </xdr:to>
    <xdr:sp macro="" textlink="">
      <xdr:nvSpPr>
        <xdr:cNvPr id="11" name="Line 20">
          <a:extLst>
            <a:ext uri="{FF2B5EF4-FFF2-40B4-BE49-F238E27FC236}">
              <a16:creationId xmlns:a16="http://schemas.microsoft.com/office/drawing/2014/main" id="{6CF2F4BA-3692-49A1-8B05-99D5B608E64B}"/>
            </a:ext>
          </a:extLst>
        </xdr:cNvPr>
        <xdr:cNvSpPr>
          <a:spLocks noChangeShapeType="1"/>
        </xdr:cNvSpPr>
      </xdr:nvSpPr>
      <xdr:spPr bwMode="auto">
        <a:xfrm flipV="1">
          <a:off x="39166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30480</xdr:colOff>
      <xdr:row>64</xdr:row>
      <xdr:rowOff>152400</xdr:rowOff>
    </xdr:from>
    <xdr:to>
      <xdr:col>15</xdr:col>
      <xdr:colOff>220980</xdr:colOff>
      <xdr:row>65</xdr:row>
      <xdr:rowOff>38100</xdr:rowOff>
    </xdr:to>
    <xdr:sp macro="" textlink="">
      <xdr:nvSpPr>
        <xdr:cNvPr id="12" name="Line 21">
          <a:extLst>
            <a:ext uri="{FF2B5EF4-FFF2-40B4-BE49-F238E27FC236}">
              <a16:creationId xmlns:a16="http://schemas.microsoft.com/office/drawing/2014/main" id="{F51D1BBA-6852-4A06-87AB-83FFEFD71FB8}"/>
            </a:ext>
          </a:extLst>
        </xdr:cNvPr>
        <xdr:cNvSpPr>
          <a:spLocks noChangeShapeType="1"/>
        </xdr:cNvSpPr>
      </xdr:nvSpPr>
      <xdr:spPr bwMode="auto">
        <a:xfrm flipV="1">
          <a:off x="41548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30480</xdr:colOff>
      <xdr:row>64</xdr:row>
      <xdr:rowOff>152400</xdr:rowOff>
    </xdr:from>
    <xdr:to>
      <xdr:col>16</xdr:col>
      <xdr:colOff>220980</xdr:colOff>
      <xdr:row>65</xdr:row>
      <xdr:rowOff>38100</xdr:rowOff>
    </xdr:to>
    <xdr:sp macro="" textlink="">
      <xdr:nvSpPr>
        <xdr:cNvPr id="13" name="Line 22">
          <a:extLst>
            <a:ext uri="{FF2B5EF4-FFF2-40B4-BE49-F238E27FC236}">
              <a16:creationId xmlns:a16="http://schemas.microsoft.com/office/drawing/2014/main" id="{EB0CEEC0-5F7F-4B24-932D-473564398C97}"/>
            </a:ext>
          </a:extLst>
        </xdr:cNvPr>
        <xdr:cNvSpPr>
          <a:spLocks noChangeShapeType="1"/>
        </xdr:cNvSpPr>
      </xdr:nvSpPr>
      <xdr:spPr bwMode="auto">
        <a:xfrm flipV="1">
          <a:off x="43929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30480</xdr:colOff>
      <xdr:row>64</xdr:row>
      <xdr:rowOff>152400</xdr:rowOff>
    </xdr:from>
    <xdr:to>
      <xdr:col>17</xdr:col>
      <xdr:colOff>220980</xdr:colOff>
      <xdr:row>65</xdr:row>
      <xdr:rowOff>38100</xdr:rowOff>
    </xdr:to>
    <xdr:sp macro="" textlink="">
      <xdr:nvSpPr>
        <xdr:cNvPr id="14" name="Line 23">
          <a:extLst>
            <a:ext uri="{FF2B5EF4-FFF2-40B4-BE49-F238E27FC236}">
              <a16:creationId xmlns:a16="http://schemas.microsoft.com/office/drawing/2014/main" id="{975A148C-9809-4774-BCE2-25A710BEADF2}"/>
            </a:ext>
          </a:extLst>
        </xdr:cNvPr>
        <xdr:cNvSpPr>
          <a:spLocks noChangeShapeType="1"/>
        </xdr:cNvSpPr>
      </xdr:nvSpPr>
      <xdr:spPr bwMode="auto">
        <a:xfrm flipV="1">
          <a:off x="463105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30480</xdr:colOff>
      <xdr:row>64</xdr:row>
      <xdr:rowOff>152400</xdr:rowOff>
    </xdr:from>
    <xdr:to>
      <xdr:col>18</xdr:col>
      <xdr:colOff>220980</xdr:colOff>
      <xdr:row>65</xdr:row>
      <xdr:rowOff>38100</xdr:rowOff>
    </xdr:to>
    <xdr:sp macro="" textlink="">
      <xdr:nvSpPr>
        <xdr:cNvPr id="15" name="Line 24">
          <a:extLst>
            <a:ext uri="{FF2B5EF4-FFF2-40B4-BE49-F238E27FC236}">
              <a16:creationId xmlns:a16="http://schemas.microsoft.com/office/drawing/2014/main" id="{2F9D92D8-9043-47A4-8130-E29D0E12F117}"/>
            </a:ext>
          </a:extLst>
        </xdr:cNvPr>
        <xdr:cNvSpPr>
          <a:spLocks noChangeShapeType="1"/>
        </xdr:cNvSpPr>
      </xdr:nvSpPr>
      <xdr:spPr bwMode="auto">
        <a:xfrm flipV="1">
          <a:off x="48691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30480</xdr:colOff>
      <xdr:row>64</xdr:row>
      <xdr:rowOff>152400</xdr:rowOff>
    </xdr:from>
    <xdr:to>
      <xdr:col>19</xdr:col>
      <xdr:colOff>220980</xdr:colOff>
      <xdr:row>65</xdr:row>
      <xdr:rowOff>38100</xdr:rowOff>
    </xdr:to>
    <xdr:sp macro="" textlink="">
      <xdr:nvSpPr>
        <xdr:cNvPr id="16" name="Line 25">
          <a:extLst>
            <a:ext uri="{FF2B5EF4-FFF2-40B4-BE49-F238E27FC236}">
              <a16:creationId xmlns:a16="http://schemas.microsoft.com/office/drawing/2014/main" id="{B77850A8-72F5-4152-8AD1-60F26296CCD6}"/>
            </a:ext>
          </a:extLst>
        </xdr:cNvPr>
        <xdr:cNvSpPr>
          <a:spLocks noChangeShapeType="1"/>
        </xdr:cNvSpPr>
      </xdr:nvSpPr>
      <xdr:spPr bwMode="auto">
        <a:xfrm flipV="1">
          <a:off x="51073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30480</xdr:colOff>
      <xdr:row>64</xdr:row>
      <xdr:rowOff>152400</xdr:rowOff>
    </xdr:from>
    <xdr:to>
      <xdr:col>20</xdr:col>
      <xdr:colOff>220980</xdr:colOff>
      <xdr:row>65</xdr:row>
      <xdr:rowOff>38100</xdr:rowOff>
    </xdr:to>
    <xdr:sp macro="" textlink="">
      <xdr:nvSpPr>
        <xdr:cNvPr id="17" name="Line 26">
          <a:extLst>
            <a:ext uri="{FF2B5EF4-FFF2-40B4-BE49-F238E27FC236}">
              <a16:creationId xmlns:a16="http://schemas.microsoft.com/office/drawing/2014/main" id="{61292D56-9C27-4C22-B11D-8A8F05D9AD51}"/>
            </a:ext>
          </a:extLst>
        </xdr:cNvPr>
        <xdr:cNvSpPr>
          <a:spLocks noChangeShapeType="1"/>
        </xdr:cNvSpPr>
      </xdr:nvSpPr>
      <xdr:spPr bwMode="auto">
        <a:xfrm flipV="1">
          <a:off x="53454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30480</xdr:colOff>
      <xdr:row>64</xdr:row>
      <xdr:rowOff>152400</xdr:rowOff>
    </xdr:from>
    <xdr:to>
      <xdr:col>21</xdr:col>
      <xdr:colOff>220980</xdr:colOff>
      <xdr:row>65</xdr:row>
      <xdr:rowOff>38100</xdr:rowOff>
    </xdr:to>
    <xdr:sp macro="" textlink="">
      <xdr:nvSpPr>
        <xdr:cNvPr id="18" name="Line 27">
          <a:extLst>
            <a:ext uri="{FF2B5EF4-FFF2-40B4-BE49-F238E27FC236}">
              <a16:creationId xmlns:a16="http://schemas.microsoft.com/office/drawing/2014/main" id="{B3068956-4CA4-4C60-9C58-2C93B3B1EB0F}"/>
            </a:ext>
          </a:extLst>
        </xdr:cNvPr>
        <xdr:cNvSpPr>
          <a:spLocks noChangeShapeType="1"/>
        </xdr:cNvSpPr>
      </xdr:nvSpPr>
      <xdr:spPr bwMode="auto">
        <a:xfrm flipV="1">
          <a:off x="558355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30480</xdr:colOff>
      <xdr:row>64</xdr:row>
      <xdr:rowOff>152400</xdr:rowOff>
    </xdr:from>
    <xdr:to>
      <xdr:col>22</xdr:col>
      <xdr:colOff>220980</xdr:colOff>
      <xdr:row>65</xdr:row>
      <xdr:rowOff>38100</xdr:rowOff>
    </xdr:to>
    <xdr:sp macro="" textlink="">
      <xdr:nvSpPr>
        <xdr:cNvPr id="19" name="Line 28">
          <a:extLst>
            <a:ext uri="{FF2B5EF4-FFF2-40B4-BE49-F238E27FC236}">
              <a16:creationId xmlns:a16="http://schemas.microsoft.com/office/drawing/2014/main" id="{65BFB27E-4ACA-48B0-B0B3-22859C26FDDF}"/>
            </a:ext>
          </a:extLst>
        </xdr:cNvPr>
        <xdr:cNvSpPr>
          <a:spLocks noChangeShapeType="1"/>
        </xdr:cNvSpPr>
      </xdr:nvSpPr>
      <xdr:spPr bwMode="auto">
        <a:xfrm flipV="1">
          <a:off x="58216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30480</xdr:colOff>
      <xdr:row>64</xdr:row>
      <xdr:rowOff>152400</xdr:rowOff>
    </xdr:from>
    <xdr:to>
      <xdr:col>23</xdr:col>
      <xdr:colOff>220980</xdr:colOff>
      <xdr:row>65</xdr:row>
      <xdr:rowOff>38100</xdr:rowOff>
    </xdr:to>
    <xdr:sp macro="" textlink="">
      <xdr:nvSpPr>
        <xdr:cNvPr id="20" name="Line 29">
          <a:extLst>
            <a:ext uri="{FF2B5EF4-FFF2-40B4-BE49-F238E27FC236}">
              <a16:creationId xmlns:a16="http://schemas.microsoft.com/office/drawing/2014/main" id="{40A637F0-7DA4-44D6-A22E-787E663581FE}"/>
            </a:ext>
          </a:extLst>
        </xdr:cNvPr>
        <xdr:cNvSpPr>
          <a:spLocks noChangeShapeType="1"/>
        </xdr:cNvSpPr>
      </xdr:nvSpPr>
      <xdr:spPr bwMode="auto">
        <a:xfrm flipV="1">
          <a:off x="60598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30480</xdr:colOff>
      <xdr:row>64</xdr:row>
      <xdr:rowOff>152400</xdr:rowOff>
    </xdr:from>
    <xdr:to>
      <xdr:col>24</xdr:col>
      <xdr:colOff>220980</xdr:colOff>
      <xdr:row>65</xdr:row>
      <xdr:rowOff>38100</xdr:rowOff>
    </xdr:to>
    <xdr:sp macro="" textlink="">
      <xdr:nvSpPr>
        <xdr:cNvPr id="21" name="Line 30">
          <a:extLst>
            <a:ext uri="{FF2B5EF4-FFF2-40B4-BE49-F238E27FC236}">
              <a16:creationId xmlns:a16="http://schemas.microsoft.com/office/drawing/2014/main" id="{AA90A4B4-5902-4FF1-AE3F-9C18C414E7F0}"/>
            </a:ext>
          </a:extLst>
        </xdr:cNvPr>
        <xdr:cNvSpPr>
          <a:spLocks noChangeShapeType="1"/>
        </xdr:cNvSpPr>
      </xdr:nvSpPr>
      <xdr:spPr bwMode="auto">
        <a:xfrm flipV="1">
          <a:off x="62979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30480</xdr:colOff>
      <xdr:row>64</xdr:row>
      <xdr:rowOff>152400</xdr:rowOff>
    </xdr:from>
    <xdr:to>
      <xdr:col>25</xdr:col>
      <xdr:colOff>220980</xdr:colOff>
      <xdr:row>65</xdr:row>
      <xdr:rowOff>38100</xdr:rowOff>
    </xdr:to>
    <xdr:sp macro="" textlink="">
      <xdr:nvSpPr>
        <xdr:cNvPr id="22" name="Line 31">
          <a:extLst>
            <a:ext uri="{FF2B5EF4-FFF2-40B4-BE49-F238E27FC236}">
              <a16:creationId xmlns:a16="http://schemas.microsoft.com/office/drawing/2014/main" id="{E33E7FBA-E161-4B19-9C57-D50A63552B54}"/>
            </a:ext>
          </a:extLst>
        </xdr:cNvPr>
        <xdr:cNvSpPr>
          <a:spLocks noChangeShapeType="1"/>
        </xdr:cNvSpPr>
      </xdr:nvSpPr>
      <xdr:spPr bwMode="auto">
        <a:xfrm flipV="1">
          <a:off x="653605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30480</xdr:colOff>
      <xdr:row>64</xdr:row>
      <xdr:rowOff>152400</xdr:rowOff>
    </xdr:from>
    <xdr:to>
      <xdr:col>26</xdr:col>
      <xdr:colOff>220980</xdr:colOff>
      <xdr:row>65</xdr:row>
      <xdr:rowOff>38100</xdr:rowOff>
    </xdr:to>
    <xdr:sp macro="" textlink="">
      <xdr:nvSpPr>
        <xdr:cNvPr id="23" name="Line 32">
          <a:extLst>
            <a:ext uri="{FF2B5EF4-FFF2-40B4-BE49-F238E27FC236}">
              <a16:creationId xmlns:a16="http://schemas.microsoft.com/office/drawing/2014/main" id="{922EDA9C-4D8E-472F-AE8B-B4B103561DF0}"/>
            </a:ext>
          </a:extLst>
        </xdr:cNvPr>
        <xdr:cNvSpPr>
          <a:spLocks noChangeShapeType="1"/>
        </xdr:cNvSpPr>
      </xdr:nvSpPr>
      <xdr:spPr bwMode="auto">
        <a:xfrm flipV="1">
          <a:off x="67741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30480</xdr:colOff>
      <xdr:row>64</xdr:row>
      <xdr:rowOff>152400</xdr:rowOff>
    </xdr:from>
    <xdr:to>
      <xdr:col>27</xdr:col>
      <xdr:colOff>220980</xdr:colOff>
      <xdr:row>65</xdr:row>
      <xdr:rowOff>38100</xdr:rowOff>
    </xdr:to>
    <xdr:sp macro="" textlink="">
      <xdr:nvSpPr>
        <xdr:cNvPr id="24" name="Line 33">
          <a:extLst>
            <a:ext uri="{FF2B5EF4-FFF2-40B4-BE49-F238E27FC236}">
              <a16:creationId xmlns:a16="http://schemas.microsoft.com/office/drawing/2014/main" id="{8F3C6208-08B0-473E-A852-1EA966FA5C9D}"/>
            </a:ext>
          </a:extLst>
        </xdr:cNvPr>
        <xdr:cNvSpPr>
          <a:spLocks noChangeShapeType="1"/>
        </xdr:cNvSpPr>
      </xdr:nvSpPr>
      <xdr:spPr bwMode="auto">
        <a:xfrm flipV="1">
          <a:off x="70123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30480</xdr:colOff>
      <xdr:row>64</xdr:row>
      <xdr:rowOff>152400</xdr:rowOff>
    </xdr:from>
    <xdr:to>
      <xdr:col>28</xdr:col>
      <xdr:colOff>220980</xdr:colOff>
      <xdr:row>65</xdr:row>
      <xdr:rowOff>38100</xdr:rowOff>
    </xdr:to>
    <xdr:sp macro="" textlink="">
      <xdr:nvSpPr>
        <xdr:cNvPr id="25" name="Line 34">
          <a:extLst>
            <a:ext uri="{FF2B5EF4-FFF2-40B4-BE49-F238E27FC236}">
              <a16:creationId xmlns:a16="http://schemas.microsoft.com/office/drawing/2014/main" id="{45E6D74D-6397-4414-94E6-FEF2810D540E}"/>
            </a:ext>
          </a:extLst>
        </xdr:cNvPr>
        <xdr:cNvSpPr>
          <a:spLocks noChangeShapeType="1"/>
        </xdr:cNvSpPr>
      </xdr:nvSpPr>
      <xdr:spPr bwMode="auto">
        <a:xfrm flipV="1">
          <a:off x="72504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30480</xdr:colOff>
      <xdr:row>64</xdr:row>
      <xdr:rowOff>152400</xdr:rowOff>
    </xdr:from>
    <xdr:to>
      <xdr:col>29</xdr:col>
      <xdr:colOff>220980</xdr:colOff>
      <xdr:row>65</xdr:row>
      <xdr:rowOff>38100</xdr:rowOff>
    </xdr:to>
    <xdr:sp macro="" textlink="">
      <xdr:nvSpPr>
        <xdr:cNvPr id="26" name="Line 35">
          <a:extLst>
            <a:ext uri="{FF2B5EF4-FFF2-40B4-BE49-F238E27FC236}">
              <a16:creationId xmlns:a16="http://schemas.microsoft.com/office/drawing/2014/main" id="{EDEE20A9-143F-4354-9F36-A64B4F8EC903}"/>
            </a:ext>
          </a:extLst>
        </xdr:cNvPr>
        <xdr:cNvSpPr>
          <a:spLocks noChangeShapeType="1"/>
        </xdr:cNvSpPr>
      </xdr:nvSpPr>
      <xdr:spPr bwMode="auto">
        <a:xfrm flipV="1">
          <a:off x="748855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30480</xdr:colOff>
      <xdr:row>64</xdr:row>
      <xdr:rowOff>152400</xdr:rowOff>
    </xdr:from>
    <xdr:to>
      <xdr:col>30</xdr:col>
      <xdr:colOff>220980</xdr:colOff>
      <xdr:row>65</xdr:row>
      <xdr:rowOff>38100</xdr:rowOff>
    </xdr:to>
    <xdr:sp macro="" textlink="">
      <xdr:nvSpPr>
        <xdr:cNvPr id="27" name="Line 36">
          <a:extLst>
            <a:ext uri="{FF2B5EF4-FFF2-40B4-BE49-F238E27FC236}">
              <a16:creationId xmlns:a16="http://schemas.microsoft.com/office/drawing/2014/main" id="{5993FB3F-B51A-46BD-B1EE-4468B39A6C64}"/>
            </a:ext>
          </a:extLst>
        </xdr:cNvPr>
        <xdr:cNvSpPr>
          <a:spLocks noChangeShapeType="1"/>
        </xdr:cNvSpPr>
      </xdr:nvSpPr>
      <xdr:spPr bwMode="auto">
        <a:xfrm flipV="1">
          <a:off x="77266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30480</xdr:colOff>
      <xdr:row>64</xdr:row>
      <xdr:rowOff>152400</xdr:rowOff>
    </xdr:from>
    <xdr:to>
      <xdr:col>31</xdr:col>
      <xdr:colOff>220980</xdr:colOff>
      <xdr:row>65</xdr:row>
      <xdr:rowOff>38100</xdr:rowOff>
    </xdr:to>
    <xdr:sp macro="" textlink="">
      <xdr:nvSpPr>
        <xdr:cNvPr id="28" name="Line 37">
          <a:extLst>
            <a:ext uri="{FF2B5EF4-FFF2-40B4-BE49-F238E27FC236}">
              <a16:creationId xmlns:a16="http://schemas.microsoft.com/office/drawing/2014/main" id="{FA496F21-53F5-4389-B1F4-4138CF5738C2}"/>
            </a:ext>
          </a:extLst>
        </xdr:cNvPr>
        <xdr:cNvSpPr>
          <a:spLocks noChangeShapeType="1"/>
        </xdr:cNvSpPr>
      </xdr:nvSpPr>
      <xdr:spPr bwMode="auto">
        <a:xfrm flipV="1">
          <a:off x="79648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30480</xdr:colOff>
      <xdr:row>64</xdr:row>
      <xdr:rowOff>152400</xdr:rowOff>
    </xdr:from>
    <xdr:to>
      <xdr:col>32</xdr:col>
      <xdr:colOff>220980</xdr:colOff>
      <xdr:row>65</xdr:row>
      <xdr:rowOff>38100</xdr:rowOff>
    </xdr:to>
    <xdr:sp macro="" textlink="">
      <xdr:nvSpPr>
        <xdr:cNvPr id="29" name="Line 38">
          <a:extLst>
            <a:ext uri="{FF2B5EF4-FFF2-40B4-BE49-F238E27FC236}">
              <a16:creationId xmlns:a16="http://schemas.microsoft.com/office/drawing/2014/main" id="{1844F15D-52D0-4E57-A168-40627818659B}"/>
            </a:ext>
          </a:extLst>
        </xdr:cNvPr>
        <xdr:cNvSpPr>
          <a:spLocks noChangeShapeType="1"/>
        </xdr:cNvSpPr>
      </xdr:nvSpPr>
      <xdr:spPr bwMode="auto">
        <a:xfrm flipV="1">
          <a:off x="82029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30480</xdr:colOff>
      <xdr:row>64</xdr:row>
      <xdr:rowOff>152400</xdr:rowOff>
    </xdr:from>
    <xdr:to>
      <xdr:col>33</xdr:col>
      <xdr:colOff>220980</xdr:colOff>
      <xdr:row>65</xdr:row>
      <xdr:rowOff>38100</xdr:rowOff>
    </xdr:to>
    <xdr:sp macro="" textlink="">
      <xdr:nvSpPr>
        <xdr:cNvPr id="30" name="Line 39">
          <a:extLst>
            <a:ext uri="{FF2B5EF4-FFF2-40B4-BE49-F238E27FC236}">
              <a16:creationId xmlns:a16="http://schemas.microsoft.com/office/drawing/2014/main" id="{DF55F86D-D289-48F2-A8C2-B65FDF846917}"/>
            </a:ext>
          </a:extLst>
        </xdr:cNvPr>
        <xdr:cNvSpPr>
          <a:spLocks noChangeShapeType="1"/>
        </xdr:cNvSpPr>
      </xdr:nvSpPr>
      <xdr:spPr bwMode="auto">
        <a:xfrm flipV="1">
          <a:off x="844105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30480</xdr:colOff>
      <xdr:row>64</xdr:row>
      <xdr:rowOff>152400</xdr:rowOff>
    </xdr:from>
    <xdr:to>
      <xdr:col>34</xdr:col>
      <xdr:colOff>220980</xdr:colOff>
      <xdr:row>65</xdr:row>
      <xdr:rowOff>38100</xdr:rowOff>
    </xdr:to>
    <xdr:sp macro="" textlink="">
      <xdr:nvSpPr>
        <xdr:cNvPr id="31" name="Line 40">
          <a:extLst>
            <a:ext uri="{FF2B5EF4-FFF2-40B4-BE49-F238E27FC236}">
              <a16:creationId xmlns:a16="http://schemas.microsoft.com/office/drawing/2014/main" id="{BD6A56E7-4949-41E3-B7BB-F9A42519EDB5}"/>
            </a:ext>
          </a:extLst>
        </xdr:cNvPr>
        <xdr:cNvSpPr>
          <a:spLocks noChangeShapeType="1"/>
        </xdr:cNvSpPr>
      </xdr:nvSpPr>
      <xdr:spPr bwMode="auto">
        <a:xfrm flipV="1">
          <a:off x="86791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30480</xdr:colOff>
      <xdr:row>64</xdr:row>
      <xdr:rowOff>152400</xdr:rowOff>
    </xdr:from>
    <xdr:to>
      <xdr:col>35</xdr:col>
      <xdr:colOff>220980</xdr:colOff>
      <xdr:row>65</xdr:row>
      <xdr:rowOff>38100</xdr:rowOff>
    </xdr:to>
    <xdr:sp macro="" textlink="">
      <xdr:nvSpPr>
        <xdr:cNvPr id="32" name="Line 41">
          <a:extLst>
            <a:ext uri="{FF2B5EF4-FFF2-40B4-BE49-F238E27FC236}">
              <a16:creationId xmlns:a16="http://schemas.microsoft.com/office/drawing/2014/main" id="{C8FC99C0-F8E2-4F99-9528-F801BB2D7993}"/>
            </a:ext>
          </a:extLst>
        </xdr:cNvPr>
        <xdr:cNvSpPr>
          <a:spLocks noChangeShapeType="1"/>
        </xdr:cNvSpPr>
      </xdr:nvSpPr>
      <xdr:spPr bwMode="auto">
        <a:xfrm flipV="1">
          <a:off x="89173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30480</xdr:colOff>
      <xdr:row>64</xdr:row>
      <xdr:rowOff>152400</xdr:rowOff>
    </xdr:from>
    <xdr:to>
      <xdr:col>36</xdr:col>
      <xdr:colOff>220980</xdr:colOff>
      <xdr:row>65</xdr:row>
      <xdr:rowOff>38100</xdr:rowOff>
    </xdr:to>
    <xdr:sp macro="" textlink="">
      <xdr:nvSpPr>
        <xdr:cNvPr id="33" name="Line 42">
          <a:extLst>
            <a:ext uri="{FF2B5EF4-FFF2-40B4-BE49-F238E27FC236}">
              <a16:creationId xmlns:a16="http://schemas.microsoft.com/office/drawing/2014/main" id="{05AF6246-FFD5-482A-A51A-19CA08364DF8}"/>
            </a:ext>
          </a:extLst>
        </xdr:cNvPr>
        <xdr:cNvSpPr>
          <a:spLocks noChangeShapeType="1"/>
        </xdr:cNvSpPr>
      </xdr:nvSpPr>
      <xdr:spPr bwMode="auto">
        <a:xfrm flipV="1">
          <a:off x="91554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38100</xdr:colOff>
      <xdr:row>66</xdr:row>
      <xdr:rowOff>160020</xdr:rowOff>
    </xdr:from>
    <xdr:to>
      <xdr:col>14</xdr:col>
      <xdr:colOff>236220</xdr:colOff>
      <xdr:row>67</xdr:row>
      <xdr:rowOff>45720</xdr:rowOff>
    </xdr:to>
    <xdr:sp macro="" textlink="">
      <xdr:nvSpPr>
        <xdr:cNvPr id="34" name="Line 43">
          <a:extLst>
            <a:ext uri="{FF2B5EF4-FFF2-40B4-BE49-F238E27FC236}">
              <a16:creationId xmlns:a16="http://schemas.microsoft.com/office/drawing/2014/main" id="{0A37B11A-C41C-411D-BC4F-2B1CE8DB6727}"/>
            </a:ext>
          </a:extLst>
        </xdr:cNvPr>
        <xdr:cNvSpPr>
          <a:spLocks noChangeShapeType="1"/>
        </xdr:cNvSpPr>
      </xdr:nvSpPr>
      <xdr:spPr bwMode="auto">
        <a:xfrm flipV="1">
          <a:off x="39243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38100</xdr:colOff>
      <xdr:row>66</xdr:row>
      <xdr:rowOff>160020</xdr:rowOff>
    </xdr:from>
    <xdr:to>
      <xdr:col>15</xdr:col>
      <xdr:colOff>236220</xdr:colOff>
      <xdr:row>67</xdr:row>
      <xdr:rowOff>45720</xdr:rowOff>
    </xdr:to>
    <xdr:sp macro="" textlink="">
      <xdr:nvSpPr>
        <xdr:cNvPr id="35" name="Line 44">
          <a:extLst>
            <a:ext uri="{FF2B5EF4-FFF2-40B4-BE49-F238E27FC236}">
              <a16:creationId xmlns:a16="http://schemas.microsoft.com/office/drawing/2014/main" id="{BE9F6E20-60F5-4191-8427-AE3224479E08}"/>
            </a:ext>
          </a:extLst>
        </xdr:cNvPr>
        <xdr:cNvSpPr>
          <a:spLocks noChangeShapeType="1"/>
        </xdr:cNvSpPr>
      </xdr:nvSpPr>
      <xdr:spPr bwMode="auto">
        <a:xfrm flipV="1">
          <a:off x="41624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38100</xdr:colOff>
      <xdr:row>66</xdr:row>
      <xdr:rowOff>160020</xdr:rowOff>
    </xdr:from>
    <xdr:to>
      <xdr:col>16</xdr:col>
      <xdr:colOff>236220</xdr:colOff>
      <xdr:row>67</xdr:row>
      <xdr:rowOff>45720</xdr:rowOff>
    </xdr:to>
    <xdr:sp macro="" textlink="">
      <xdr:nvSpPr>
        <xdr:cNvPr id="36" name="Line 45">
          <a:extLst>
            <a:ext uri="{FF2B5EF4-FFF2-40B4-BE49-F238E27FC236}">
              <a16:creationId xmlns:a16="http://schemas.microsoft.com/office/drawing/2014/main" id="{4D62864C-2C86-4025-A5F6-3BB06F54BFBB}"/>
            </a:ext>
          </a:extLst>
        </xdr:cNvPr>
        <xdr:cNvSpPr>
          <a:spLocks noChangeShapeType="1"/>
        </xdr:cNvSpPr>
      </xdr:nvSpPr>
      <xdr:spPr bwMode="auto">
        <a:xfrm flipV="1">
          <a:off x="44005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38100</xdr:colOff>
      <xdr:row>66</xdr:row>
      <xdr:rowOff>160020</xdr:rowOff>
    </xdr:from>
    <xdr:to>
      <xdr:col>17</xdr:col>
      <xdr:colOff>236220</xdr:colOff>
      <xdr:row>67</xdr:row>
      <xdr:rowOff>45720</xdr:rowOff>
    </xdr:to>
    <xdr:sp macro="" textlink="">
      <xdr:nvSpPr>
        <xdr:cNvPr id="37" name="Line 46">
          <a:extLst>
            <a:ext uri="{FF2B5EF4-FFF2-40B4-BE49-F238E27FC236}">
              <a16:creationId xmlns:a16="http://schemas.microsoft.com/office/drawing/2014/main" id="{A07469A6-F3F3-4AFB-B814-116D4DFA9AEE}"/>
            </a:ext>
          </a:extLst>
        </xdr:cNvPr>
        <xdr:cNvSpPr>
          <a:spLocks noChangeShapeType="1"/>
        </xdr:cNvSpPr>
      </xdr:nvSpPr>
      <xdr:spPr bwMode="auto">
        <a:xfrm flipV="1">
          <a:off x="463867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38100</xdr:colOff>
      <xdr:row>66</xdr:row>
      <xdr:rowOff>160020</xdr:rowOff>
    </xdr:from>
    <xdr:to>
      <xdr:col>18</xdr:col>
      <xdr:colOff>236220</xdr:colOff>
      <xdr:row>67</xdr:row>
      <xdr:rowOff>45720</xdr:rowOff>
    </xdr:to>
    <xdr:sp macro="" textlink="">
      <xdr:nvSpPr>
        <xdr:cNvPr id="38" name="Line 47">
          <a:extLst>
            <a:ext uri="{FF2B5EF4-FFF2-40B4-BE49-F238E27FC236}">
              <a16:creationId xmlns:a16="http://schemas.microsoft.com/office/drawing/2014/main" id="{5AF860CB-2316-483B-8279-0B96DCCFF4F9}"/>
            </a:ext>
          </a:extLst>
        </xdr:cNvPr>
        <xdr:cNvSpPr>
          <a:spLocks noChangeShapeType="1"/>
        </xdr:cNvSpPr>
      </xdr:nvSpPr>
      <xdr:spPr bwMode="auto">
        <a:xfrm flipV="1">
          <a:off x="48768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38100</xdr:colOff>
      <xdr:row>66</xdr:row>
      <xdr:rowOff>160020</xdr:rowOff>
    </xdr:from>
    <xdr:to>
      <xdr:col>19</xdr:col>
      <xdr:colOff>236220</xdr:colOff>
      <xdr:row>67</xdr:row>
      <xdr:rowOff>45720</xdr:rowOff>
    </xdr:to>
    <xdr:sp macro="" textlink="">
      <xdr:nvSpPr>
        <xdr:cNvPr id="39" name="Line 48">
          <a:extLst>
            <a:ext uri="{FF2B5EF4-FFF2-40B4-BE49-F238E27FC236}">
              <a16:creationId xmlns:a16="http://schemas.microsoft.com/office/drawing/2014/main" id="{4F3F4B40-BB94-4E26-8721-7792DD5326B1}"/>
            </a:ext>
          </a:extLst>
        </xdr:cNvPr>
        <xdr:cNvSpPr>
          <a:spLocks noChangeShapeType="1"/>
        </xdr:cNvSpPr>
      </xdr:nvSpPr>
      <xdr:spPr bwMode="auto">
        <a:xfrm flipV="1">
          <a:off x="51149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38100</xdr:colOff>
      <xdr:row>66</xdr:row>
      <xdr:rowOff>160020</xdr:rowOff>
    </xdr:from>
    <xdr:to>
      <xdr:col>20</xdr:col>
      <xdr:colOff>236220</xdr:colOff>
      <xdr:row>67</xdr:row>
      <xdr:rowOff>45720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A7A782B5-E6DA-484C-BDCA-78EC14E820BF}"/>
            </a:ext>
          </a:extLst>
        </xdr:cNvPr>
        <xdr:cNvSpPr>
          <a:spLocks noChangeShapeType="1"/>
        </xdr:cNvSpPr>
      </xdr:nvSpPr>
      <xdr:spPr bwMode="auto">
        <a:xfrm flipV="1">
          <a:off x="53530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38100</xdr:colOff>
      <xdr:row>66</xdr:row>
      <xdr:rowOff>160020</xdr:rowOff>
    </xdr:from>
    <xdr:to>
      <xdr:col>21</xdr:col>
      <xdr:colOff>236220</xdr:colOff>
      <xdr:row>67</xdr:row>
      <xdr:rowOff>45720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C736F3FF-37BE-47CE-9C41-976FFCAFA784}"/>
            </a:ext>
          </a:extLst>
        </xdr:cNvPr>
        <xdr:cNvSpPr>
          <a:spLocks noChangeShapeType="1"/>
        </xdr:cNvSpPr>
      </xdr:nvSpPr>
      <xdr:spPr bwMode="auto">
        <a:xfrm flipV="1">
          <a:off x="559117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38100</xdr:colOff>
      <xdr:row>66</xdr:row>
      <xdr:rowOff>160020</xdr:rowOff>
    </xdr:from>
    <xdr:to>
      <xdr:col>22</xdr:col>
      <xdr:colOff>236220</xdr:colOff>
      <xdr:row>67</xdr:row>
      <xdr:rowOff>45720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1B9705AA-EB76-4519-8ADF-DDEDBCDE9218}"/>
            </a:ext>
          </a:extLst>
        </xdr:cNvPr>
        <xdr:cNvSpPr>
          <a:spLocks noChangeShapeType="1"/>
        </xdr:cNvSpPr>
      </xdr:nvSpPr>
      <xdr:spPr bwMode="auto">
        <a:xfrm flipV="1">
          <a:off x="58293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38100</xdr:colOff>
      <xdr:row>66</xdr:row>
      <xdr:rowOff>160020</xdr:rowOff>
    </xdr:from>
    <xdr:to>
      <xdr:col>23</xdr:col>
      <xdr:colOff>236220</xdr:colOff>
      <xdr:row>67</xdr:row>
      <xdr:rowOff>45720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E2EE6102-66A5-4EA8-A95A-3EADE41EB20B}"/>
            </a:ext>
          </a:extLst>
        </xdr:cNvPr>
        <xdr:cNvSpPr>
          <a:spLocks noChangeShapeType="1"/>
        </xdr:cNvSpPr>
      </xdr:nvSpPr>
      <xdr:spPr bwMode="auto">
        <a:xfrm flipV="1">
          <a:off x="60674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38100</xdr:colOff>
      <xdr:row>66</xdr:row>
      <xdr:rowOff>160020</xdr:rowOff>
    </xdr:from>
    <xdr:to>
      <xdr:col>24</xdr:col>
      <xdr:colOff>236220</xdr:colOff>
      <xdr:row>67</xdr:row>
      <xdr:rowOff>45720</xdr:rowOff>
    </xdr:to>
    <xdr:sp macro="" textlink="">
      <xdr:nvSpPr>
        <xdr:cNvPr id="44" name="Line 53">
          <a:extLst>
            <a:ext uri="{FF2B5EF4-FFF2-40B4-BE49-F238E27FC236}">
              <a16:creationId xmlns:a16="http://schemas.microsoft.com/office/drawing/2014/main" id="{AB5D8801-8F86-4D12-B432-4FA1E05CAA83}"/>
            </a:ext>
          </a:extLst>
        </xdr:cNvPr>
        <xdr:cNvSpPr>
          <a:spLocks noChangeShapeType="1"/>
        </xdr:cNvSpPr>
      </xdr:nvSpPr>
      <xdr:spPr bwMode="auto">
        <a:xfrm flipV="1">
          <a:off x="63055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38100</xdr:colOff>
      <xdr:row>66</xdr:row>
      <xdr:rowOff>160020</xdr:rowOff>
    </xdr:from>
    <xdr:to>
      <xdr:col>25</xdr:col>
      <xdr:colOff>236220</xdr:colOff>
      <xdr:row>67</xdr:row>
      <xdr:rowOff>45720</xdr:rowOff>
    </xdr:to>
    <xdr:sp macro="" textlink="">
      <xdr:nvSpPr>
        <xdr:cNvPr id="45" name="Line 54">
          <a:extLst>
            <a:ext uri="{FF2B5EF4-FFF2-40B4-BE49-F238E27FC236}">
              <a16:creationId xmlns:a16="http://schemas.microsoft.com/office/drawing/2014/main" id="{125D5327-F48C-4FC2-8792-B6E23D5C0EED}"/>
            </a:ext>
          </a:extLst>
        </xdr:cNvPr>
        <xdr:cNvSpPr>
          <a:spLocks noChangeShapeType="1"/>
        </xdr:cNvSpPr>
      </xdr:nvSpPr>
      <xdr:spPr bwMode="auto">
        <a:xfrm flipV="1">
          <a:off x="654367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38100</xdr:colOff>
      <xdr:row>66</xdr:row>
      <xdr:rowOff>160020</xdr:rowOff>
    </xdr:from>
    <xdr:to>
      <xdr:col>26</xdr:col>
      <xdr:colOff>236220</xdr:colOff>
      <xdr:row>67</xdr:row>
      <xdr:rowOff>45720</xdr:rowOff>
    </xdr:to>
    <xdr:sp macro="" textlink="">
      <xdr:nvSpPr>
        <xdr:cNvPr id="46" name="Line 55">
          <a:extLst>
            <a:ext uri="{FF2B5EF4-FFF2-40B4-BE49-F238E27FC236}">
              <a16:creationId xmlns:a16="http://schemas.microsoft.com/office/drawing/2014/main" id="{729D058C-09D9-40A4-84ED-9C25D8142E9D}"/>
            </a:ext>
          </a:extLst>
        </xdr:cNvPr>
        <xdr:cNvSpPr>
          <a:spLocks noChangeShapeType="1"/>
        </xdr:cNvSpPr>
      </xdr:nvSpPr>
      <xdr:spPr bwMode="auto">
        <a:xfrm flipV="1">
          <a:off x="67818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38100</xdr:colOff>
      <xdr:row>66</xdr:row>
      <xdr:rowOff>160020</xdr:rowOff>
    </xdr:from>
    <xdr:to>
      <xdr:col>27</xdr:col>
      <xdr:colOff>236220</xdr:colOff>
      <xdr:row>67</xdr:row>
      <xdr:rowOff>45720</xdr:rowOff>
    </xdr:to>
    <xdr:sp macro="" textlink="">
      <xdr:nvSpPr>
        <xdr:cNvPr id="47" name="Line 56">
          <a:extLst>
            <a:ext uri="{FF2B5EF4-FFF2-40B4-BE49-F238E27FC236}">
              <a16:creationId xmlns:a16="http://schemas.microsoft.com/office/drawing/2014/main" id="{37982305-87AE-4EB4-94B3-3DEE62353FB6}"/>
            </a:ext>
          </a:extLst>
        </xdr:cNvPr>
        <xdr:cNvSpPr>
          <a:spLocks noChangeShapeType="1"/>
        </xdr:cNvSpPr>
      </xdr:nvSpPr>
      <xdr:spPr bwMode="auto">
        <a:xfrm flipV="1">
          <a:off x="70199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38100</xdr:colOff>
      <xdr:row>66</xdr:row>
      <xdr:rowOff>160020</xdr:rowOff>
    </xdr:from>
    <xdr:to>
      <xdr:col>28</xdr:col>
      <xdr:colOff>236220</xdr:colOff>
      <xdr:row>67</xdr:row>
      <xdr:rowOff>45720</xdr:rowOff>
    </xdr:to>
    <xdr:sp macro="" textlink="">
      <xdr:nvSpPr>
        <xdr:cNvPr id="48" name="Line 57">
          <a:extLst>
            <a:ext uri="{FF2B5EF4-FFF2-40B4-BE49-F238E27FC236}">
              <a16:creationId xmlns:a16="http://schemas.microsoft.com/office/drawing/2014/main" id="{8E551078-6F7D-4084-931F-7F3E2799CB6C}"/>
            </a:ext>
          </a:extLst>
        </xdr:cNvPr>
        <xdr:cNvSpPr>
          <a:spLocks noChangeShapeType="1"/>
        </xdr:cNvSpPr>
      </xdr:nvSpPr>
      <xdr:spPr bwMode="auto">
        <a:xfrm flipV="1">
          <a:off x="72580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38100</xdr:colOff>
      <xdr:row>66</xdr:row>
      <xdr:rowOff>160020</xdr:rowOff>
    </xdr:from>
    <xdr:to>
      <xdr:col>29</xdr:col>
      <xdr:colOff>236220</xdr:colOff>
      <xdr:row>67</xdr:row>
      <xdr:rowOff>45720</xdr:rowOff>
    </xdr:to>
    <xdr:sp macro="" textlink="">
      <xdr:nvSpPr>
        <xdr:cNvPr id="49" name="Line 58">
          <a:extLst>
            <a:ext uri="{FF2B5EF4-FFF2-40B4-BE49-F238E27FC236}">
              <a16:creationId xmlns:a16="http://schemas.microsoft.com/office/drawing/2014/main" id="{EEB1A5BE-FD79-4913-9729-FBAC87EBC63C}"/>
            </a:ext>
          </a:extLst>
        </xdr:cNvPr>
        <xdr:cNvSpPr>
          <a:spLocks noChangeShapeType="1"/>
        </xdr:cNvSpPr>
      </xdr:nvSpPr>
      <xdr:spPr bwMode="auto">
        <a:xfrm flipV="1">
          <a:off x="749617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38100</xdr:colOff>
      <xdr:row>66</xdr:row>
      <xdr:rowOff>160020</xdr:rowOff>
    </xdr:from>
    <xdr:to>
      <xdr:col>30</xdr:col>
      <xdr:colOff>236220</xdr:colOff>
      <xdr:row>67</xdr:row>
      <xdr:rowOff>45720</xdr:rowOff>
    </xdr:to>
    <xdr:sp macro="" textlink="">
      <xdr:nvSpPr>
        <xdr:cNvPr id="50" name="Line 59">
          <a:extLst>
            <a:ext uri="{FF2B5EF4-FFF2-40B4-BE49-F238E27FC236}">
              <a16:creationId xmlns:a16="http://schemas.microsoft.com/office/drawing/2014/main" id="{D1F30704-A326-4CF8-876F-5E2C0B86AEEC}"/>
            </a:ext>
          </a:extLst>
        </xdr:cNvPr>
        <xdr:cNvSpPr>
          <a:spLocks noChangeShapeType="1"/>
        </xdr:cNvSpPr>
      </xdr:nvSpPr>
      <xdr:spPr bwMode="auto">
        <a:xfrm flipV="1">
          <a:off x="77343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38100</xdr:colOff>
      <xdr:row>66</xdr:row>
      <xdr:rowOff>160020</xdr:rowOff>
    </xdr:from>
    <xdr:to>
      <xdr:col>31</xdr:col>
      <xdr:colOff>236220</xdr:colOff>
      <xdr:row>67</xdr:row>
      <xdr:rowOff>45720</xdr:rowOff>
    </xdr:to>
    <xdr:sp macro="" textlink="">
      <xdr:nvSpPr>
        <xdr:cNvPr id="51" name="Line 60">
          <a:extLst>
            <a:ext uri="{FF2B5EF4-FFF2-40B4-BE49-F238E27FC236}">
              <a16:creationId xmlns:a16="http://schemas.microsoft.com/office/drawing/2014/main" id="{563C2B1A-B61A-4B13-B096-C8D0BE69D1AF}"/>
            </a:ext>
          </a:extLst>
        </xdr:cNvPr>
        <xdr:cNvSpPr>
          <a:spLocks noChangeShapeType="1"/>
        </xdr:cNvSpPr>
      </xdr:nvSpPr>
      <xdr:spPr bwMode="auto">
        <a:xfrm flipV="1">
          <a:off x="79724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38100</xdr:colOff>
      <xdr:row>66</xdr:row>
      <xdr:rowOff>160020</xdr:rowOff>
    </xdr:from>
    <xdr:to>
      <xdr:col>32</xdr:col>
      <xdr:colOff>236220</xdr:colOff>
      <xdr:row>67</xdr:row>
      <xdr:rowOff>45720</xdr:rowOff>
    </xdr:to>
    <xdr:sp macro="" textlink="">
      <xdr:nvSpPr>
        <xdr:cNvPr id="52" name="Line 61">
          <a:extLst>
            <a:ext uri="{FF2B5EF4-FFF2-40B4-BE49-F238E27FC236}">
              <a16:creationId xmlns:a16="http://schemas.microsoft.com/office/drawing/2014/main" id="{37670F30-1F46-4B08-B3F6-9A5976FBC601}"/>
            </a:ext>
          </a:extLst>
        </xdr:cNvPr>
        <xdr:cNvSpPr>
          <a:spLocks noChangeShapeType="1"/>
        </xdr:cNvSpPr>
      </xdr:nvSpPr>
      <xdr:spPr bwMode="auto">
        <a:xfrm flipV="1">
          <a:off x="82105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38100</xdr:colOff>
      <xdr:row>66</xdr:row>
      <xdr:rowOff>160020</xdr:rowOff>
    </xdr:from>
    <xdr:to>
      <xdr:col>33</xdr:col>
      <xdr:colOff>236220</xdr:colOff>
      <xdr:row>67</xdr:row>
      <xdr:rowOff>45720</xdr:rowOff>
    </xdr:to>
    <xdr:sp macro="" textlink="">
      <xdr:nvSpPr>
        <xdr:cNvPr id="53" name="Line 62">
          <a:extLst>
            <a:ext uri="{FF2B5EF4-FFF2-40B4-BE49-F238E27FC236}">
              <a16:creationId xmlns:a16="http://schemas.microsoft.com/office/drawing/2014/main" id="{AEB420A7-5EE6-45F3-9EA0-6B3E1FEA20CB}"/>
            </a:ext>
          </a:extLst>
        </xdr:cNvPr>
        <xdr:cNvSpPr>
          <a:spLocks noChangeShapeType="1"/>
        </xdr:cNvSpPr>
      </xdr:nvSpPr>
      <xdr:spPr bwMode="auto">
        <a:xfrm flipV="1">
          <a:off x="844867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38100</xdr:colOff>
      <xdr:row>66</xdr:row>
      <xdr:rowOff>160020</xdr:rowOff>
    </xdr:from>
    <xdr:to>
      <xdr:col>34</xdr:col>
      <xdr:colOff>236220</xdr:colOff>
      <xdr:row>67</xdr:row>
      <xdr:rowOff>45720</xdr:rowOff>
    </xdr:to>
    <xdr:sp macro="" textlink="">
      <xdr:nvSpPr>
        <xdr:cNvPr id="54" name="Line 63">
          <a:extLst>
            <a:ext uri="{FF2B5EF4-FFF2-40B4-BE49-F238E27FC236}">
              <a16:creationId xmlns:a16="http://schemas.microsoft.com/office/drawing/2014/main" id="{A0C52E03-2A82-4293-B470-5A75F0B5F199}"/>
            </a:ext>
          </a:extLst>
        </xdr:cNvPr>
        <xdr:cNvSpPr>
          <a:spLocks noChangeShapeType="1"/>
        </xdr:cNvSpPr>
      </xdr:nvSpPr>
      <xdr:spPr bwMode="auto">
        <a:xfrm flipV="1">
          <a:off x="86868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38100</xdr:colOff>
      <xdr:row>66</xdr:row>
      <xdr:rowOff>160020</xdr:rowOff>
    </xdr:from>
    <xdr:to>
      <xdr:col>35</xdr:col>
      <xdr:colOff>236220</xdr:colOff>
      <xdr:row>67</xdr:row>
      <xdr:rowOff>45720</xdr:rowOff>
    </xdr:to>
    <xdr:sp macro="" textlink="">
      <xdr:nvSpPr>
        <xdr:cNvPr id="55" name="Line 64">
          <a:extLst>
            <a:ext uri="{FF2B5EF4-FFF2-40B4-BE49-F238E27FC236}">
              <a16:creationId xmlns:a16="http://schemas.microsoft.com/office/drawing/2014/main" id="{39170493-E13F-44A7-AE77-95E68BF82828}"/>
            </a:ext>
          </a:extLst>
        </xdr:cNvPr>
        <xdr:cNvSpPr>
          <a:spLocks noChangeShapeType="1"/>
        </xdr:cNvSpPr>
      </xdr:nvSpPr>
      <xdr:spPr bwMode="auto">
        <a:xfrm flipV="1">
          <a:off x="89249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38100</xdr:colOff>
      <xdr:row>66</xdr:row>
      <xdr:rowOff>160020</xdr:rowOff>
    </xdr:from>
    <xdr:to>
      <xdr:col>36</xdr:col>
      <xdr:colOff>236220</xdr:colOff>
      <xdr:row>67</xdr:row>
      <xdr:rowOff>45720</xdr:rowOff>
    </xdr:to>
    <xdr:sp macro="" textlink="">
      <xdr:nvSpPr>
        <xdr:cNvPr id="56" name="Line 65">
          <a:extLst>
            <a:ext uri="{FF2B5EF4-FFF2-40B4-BE49-F238E27FC236}">
              <a16:creationId xmlns:a16="http://schemas.microsoft.com/office/drawing/2014/main" id="{6FD61352-B25F-406A-BA44-A1397EBDD0EE}"/>
            </a:ext>
          </a:extLst>
        </xdr:cNvPr>
        <xdr:cNvSpPr>
          <a:spLocks noChangeShapeType="1"/>
        </xdr:cNvSpPr>
      </xdr:nvSpPr>
      <xdr:spPr bwMode="auto">
        <a:xfrm flipV="1">
          <a:off x="91630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76</xdr:row>
          <xdr:rowOff>114300</xdr:rowOff>
        </xdr:from>
        <xdr:to>
          <xdr:col>5</xdr:col>
          <xdr:colOff>142875</xdr:colOff>
          <xdr:row>78</xdr:row>
          <xdr:rowOff>114300</xdr:rowOff>
        </xdr:to>
        <xdr:sp macro="" textlink="">
          <xdr:nvSpPr>
            <xdr:cNvPr id="372737" name="Button 1" hidden="1">
              <a:extLst>
                <a:ext uri="{63B3BB69-23CF-44E3-9099-C40C66FF867C}">
                  <a14:compatExt spid="_x0000_s372737"/>
                </a:ext>
                <a:ext uri="{FF2B5EF4-FFF2-40B4-BE49-F238E27FC236}">
                  <a16:creationId xmlns:a16="http://schemas.microsoft.com/office/drawing/2014/main" id="{912933F0-AB81-44D5-9613-653488D67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製図確認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762000</xdr:rowOff>
        </xdr:from>
        <xdr:to>
          <xdr:col>13</xdr:col>
          <xdr:colOff>476250</xdr:colOff>
          <xdr:row>1</xdr:row>
          <xdr:rowOff>1066800</xdr:rowOff>
        </xdr:to>
        <xdr:sp macro="" textlink="">
          <xdr:nvSpPr>
            <xdr:cNvPr id="372738" name="Button 2" hidden="1">
              <a:extLst>
                <a:ext uri="{63B3BB69-23CF-44E3-9099-C40C66FF867C}">
                  <a14:compatExt spid="_x0000_s372738"/>
                </a:ext>
                <a:ext uri="{FF2B5EF4-FFF2-40B4-BE49-F238E27FC236}">
                  <a16:creationId xmlns:a16="http://schemas.microsoft.com/office/drawing/2014/main" id="{AB84C5AE-9115-4D29-AD2C-35D584173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○書き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419100</xdr:rowOff>
        </xdr:from>
        <xdr:to>
          <xdr:col>13</xdr:col>
          <xdr:colOff>476250</xdr:colOff>
          <xdr:row>1</xdr:row>
          <xdr:rowOff>723900</xdr:rowOff>
        </xdr:to>
        <xdr:sp macro="" textlink="">
          <xdr:nvSpPr>
            <xdr:cNvPr id="372739" name="Button 3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32792158-481E-4439-92B8-498013C67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1000125</xdr:rowOff>
        </xdr:from>
        <xdr:to>
          <xdr:col>4</xdr:col>
          <xdr:colOff>133350</xdr:colOff>
          <xdr:row>1</xdr:row>
          <xdr:rowOff>1352550</xdr:rowOff>
        </xdr:to>
        <xdr:sp macro="" textlink="">
          <xdr:nvSpPr>
            <xdr:cNvPr id="372740" name="Button 4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C5CCEF2A-CB32-4F35-AE13-286D794A2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標準明朝"/>
                  <a:ea typeface="標準明朝"/>
                </a:rPr>
                <a:t>範囲罫線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</xdr:row>
          <xdr:rowOff>1257300</xdr:rowOff>
        </xdr:from>
        <xdr:to>
          <xdr:col>12</xdr:col>
          <xdr:colOff>38100</xdr:colOff>
          <xdr:row>1</xdr:row>
          <xdr:rowOff>1524000</xdr:rowOff>
        </xdr:to>
        <xdr:sp macro="" textlink="">
          <xdr:nvSpPr>
            <xdr:cNvPr id="372741" name="Button 5" hidden="1">
              <a:extLst>
                <a:ext uri="{63B3BB69-23CF-44E3-9099-C40C66FF867C}">
                  <a14:compatExt spid="_x0000_s372741"/>
                </a:ext>
                <a:ext uri="{FF2B5EF4-FFF2-40B4-BE49-F238E27FC236}">
                  <a16:creationId xmlns:a16="http://schemas.microsoft.com/office/drawing/2014/main" id="{50957E39-EE9E-4FFE-9DA0-33129A3B8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</xdr:row>
          <xdr:rowOff>1257300</xdr:rowOff>
        </xdr:from>
        <xdr:to>
          <xdr:col>13</xdr:col>
          <xdr:colOff>142875</xdr:colOff>
          <xdr:row>1</xdr:row>
          <xdr:rowOff>1524000</xdr:rowOff>
        </xdr:to>
        <xdr:sp macro="" textlink="">
          <xdr:nvSpPr>
            <xdr:cNvPr id="372742" name="Button 6" hidden="1">
              <a:extLst>
                <a:ext uri="{63B3BB69-23CF-44E3-9099-C40C66FF867C}">
                  <a14:compatExt spid="_x0000_s372742"/>
                </a:ext>
                <a:ext uri="{FF2B5EF4-FFF2-40B4-BE49-F238E27FC236}">
                  <a16:creationId xmlns:a16="http://schemas.microsoft.com/office/drawing/2014/main" id="{7790476C-B201-4037-91D5-56F4BAB7A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</xdr:row>
          <xdr:rowOff>1257300</xdr:rowOff>
        </xdr:from>
        <xdr:to>
          <xdr:col>13</xdr:col>
          <xdr:colOff>485775</xdr:colOff>
          <xdr:row>1</xdr:row>
          <xdr:rowOff>1524000</xdr:rowOff>
        </xdr:to>
        <xdr:sp macro="" textlink="">
          <xdr:nvSpPr>
            <xdr:cNvPr id="372743" name="Button 7" hidden="1">
              <a:extLst>
                <a:ext uri="{63B3BB69-23CF-44E3-9099-C40C66FF867C}">
                  <a14:compatExt spid="_x0000_s372743"/>
                </a:ext>
                <a:ext uri="{FF2B5EF4-FFF2-40B4-BE49-F238E27FC236}">
                  <a16:creationId xmlns:a16="http://schemas.microsoft.com/office/drawing/2014/main" id="{459FFC62-58BB-43B9-A529-C35DC0F6F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1257300</xdr:rowOff>
        </xdr:from>
        <xdr:to>
          <xdr:col>10</xdr:col>
          <xdr:colOff>200025</xdr:colOff>
          <xdr:row>1</xdr:row>
          <xdr:rowOff>1524000</xdr:rowOff>
        </xdr:to>
        <xdr:sp macro="" textlink="">
          <xdr:nvSpPr>
            <xdr:cNvPr id="372744" name="Button 8" hidden="1">
              <a:extLst>
                <a:ext uri="{63B3BB69-23CF-44E3-9099-C40C66FF867C}">
                  <a14:compatExt spid="_x0000_s372744"/>
                </a:ext>
                <a:ext uri="{FF2B5EF4-FFF2-40B4-BE49-F238E27FC236}">
                  <a16:creationId xmlns:a16="http://schemas.microsoft.com/office/drawing/2014/main" id="{345D2E46-13C4-47A8-8BF5-1516C6FB4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Ｎ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142875</xdr:colOff>
      <xdr:row>33</xdr:row>
      <xdr:rowOff>114300</xdr:rowOff>
    </xdr:from>
    <xdr:to>
      <xdr:col>53</xdr:col>
      <xdr:colOff>57150</xdr:colOff>
      <xdr:row>35</xdr:row>
      <xdr:rowOff>238125</xdr:rowOff>
    </xdr:to>
    <xdr:sp macro="" textlink="">
      <xdr:nvSpPr>
        <xdr:cNvPr id="65" name="正方形/長方形 64">
          <a:extLst>
            <a:ext uri="{FF2B5EF4-FFF2-40B4-BE49-F238E27FC236}">
              <a16:creationId xmlns:a16="http://schemas.microsoft.com/office/drawing/2014/main" id="{92CAD2A6-F41C-4EAC-8E4D-A71CB0F8C2E7}"/>
            </a:ext>
          </a:extLst>
        </xdr:cNvPr>
        <xdr:cNvSpPr/>
      </xdr:nvSpPr>
      <xdr:spPr bwMode="auto">
        <a:xfrm>
          <a:off x="9505950" y="8439150"/>
          <a:ext cx="3724275" cy="5048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ja-JP" altLang="en-US" sz="1100"/>
            <a:t>計算方法に問題無いことを確認しながらテスト実施する</a:t>
          </a:r>
          <a:endParaRPr kumimoji="1" lang="en-US" altLang="ja-JP" sz="1100"/>
        </a:p>
        <a:p>
          <a:pPr algn="l"/>
          <a:r>
            <a:rPr kumimoji="1" lang="en-US" altLang="ja-JP" sz="1100"/>
            <a:t>(</a:t>
          </a:r>
          <a:r>
            <a:rPr kumimoji="1" lang="ja-JP" altLang="en-US" sz="1100"/>
            <a:t>計算方法は、設計書を参考にする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38</xdr:col>
      <xdr:colOff>19050</xdr:colOff>
      <xdr:row>39</xdr:row>
      <xdr:rowOff>114300</xdr:rowOff>
    </xdr:from>
    <xdr:to>
      <xdr:col>58</xdr:col>
      <xdr:colOff>0</xdr:colOff>
      <xdr:row>42</xdr:row>
      <xdr:rowOff>133350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7B0ACD96-0377-4777-B9CE-6519BBE33441}"/>
            </a:ext>
          </a:extLst>
        </xdr:cNvPr>
        <xdr:cNvSpPr/>
      </xdr:nvSpPr>
      <xdr:spPr bwMode="auto">
        <a:xfrm>
          <a:off x="9620250" y="9944100"/>
          <a:ext cx="4743450" cy="5905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en-US" altLang="ja-JP" sz="1100"/>
            <a:t>CCL</a:t>
          </a:r>
          <a:r>
            <a:rPr kumimoji="1" lang="ja-JP" altLang="en-US" sz="1100"/>
            <a:t>作成者の想定では以下の様な挙動</a:t>
          </a:r>
          <a:endParaRPr kumimoji="1" lang="en-US" altLang="ja-JP" sz="1100"/>
        </a:p>
        <a:p>
          <a:pPr algn="l"/>
          <a:r>
            <a:rPr kumimoji="1" lang="ja-JP" altLang="en-US" sz="1100"/>
            <a:t>一致：</a:t>
          </a:r>
          <a:r>
            <a:rPr kumimoji="1" lang="en-US" altLang="ja-JP" sz="1100"/>
            <a:t>RMS</a:t>
          </a:r>
          <a:r>
            <a:rPr kumimoji="1" lang="ja-JP" altLang="en-US" sz="1100"/>
            <a:t>側でキャンセル申請を行わなずに、チェック実施</a:t>
          </a:r>
          <a:endParaRPr kumimoji="1" lang="en-US" altLang="ja-JP" sz="1100"/>
        </a:p>
        <a:p>
          <a:pPr algn="l"/>
          <a:r>
            <a:rPr kumimoji="1" lang="ja-JP" altLang="en-US" sz="1100"/>
            <a:t>不一致：</a:t>
          </a:r>
          <a:r>
            <a:rPr kumimoji="1" lang="en-US" altLang="ja-JP" sz="1100"/>
            <a:t>RMS</a:t>
          </a:r>
          <a:r>
            <a:rPr kumimoji="1" lang="ja-JP" altLang="en-US" sz="1100"/>
            <a:t>側で誤ってキャンセル申請を行って、チェック実施</a:t>
          </a:r>
          <a:endParaRPr kumimoji="1" lang="en-US" altLang="ja-JP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54</xdr:row>
      <xdr:rowOff>9525</xdr:rowOff>
    </xdr:from>
    <xdr:to>
      <xdr:col>14</xdr:col>
      <xdr:colOff>9525</xdr:colOff>
      <xdr:row>56</xdr:row>
      <xdr:rowOff>0</xdr:rowOff>
    </xdr:to>
    <xdr:sp macro="" textlink="">
      <xdr:nvSpPr>
        <xdr:cNvPr id="2" name="テキスト 1">
          <a:extLst>
            <a:ext uri="{FF2B5EF4-FFF2-40B4-BE49-F238E27FC236}">
              <a16:creationId xmlns:a16="http://schemas.microsoft.com/office/drawing/2014/main" id="{63E9D85D-8E7E-4721-8798-098209E2B899}"/>
            </a:ext>
          </a:extLst>
        </xdr:cNvPr>
        <xdr:cNvSpPr txBox="1">
          <a:spLocks noChangeArrowheads="1"/>
        </xdr:cNvSpPr>
      </xdr:nvSpPr>
      <xdr:spPr bwMode="auto">
        <a:xfrm>
          <a:off x="2152650" y="14220825"/>
          <a:ext cx="1743075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テスト仕様書番号</a:t>
          </a: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13</xdr:col>
      <xdr:colOff>0</xdr:colOff>
      <xdr:row>60</xdr:row>
      <xdr:rowOff>0</xdr:rowOff>
    </xdr:to>
    <xdr:sp macro="" textlink="">
      <xdr:nvSpPr>
        <xdr:cNvPr id="3" name="テキスト 2">
          <a:extLst>
            <a:ext uri="{FF2B5EF4-FFF2-40B4-BE49-F238E27FC236}">
              <a16:creationId xmlns:a16="http://schemas.microsoft.com/office/drawing/2014/main" id="{EC686711-7AEC-4F8F-9CC3-EAD281AEA53B}"/>
            </a:ext>
          </a:extLst>
        </xdr:cNvPr>
        <xdr:cNvSpPr txBox="1">
          <a:spLocks noChangeArrowheads="1"/>
        </xdr:cNvSpPr>
      </xdr:nvSpPr>
      <xdr:spPr bwMode="auto">
        <a:xfrm>
          <a:off x="2143125" y="14592300"/>
          <a:ext cx="952500" cy="762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確認日</a:t>
          </a:r>
        </a:p>
      </xdr:txBody>
    </xdr:sp>
    <xdr:clientData/>
  </xdr:twoCellAnchor>
  <xdr:twoCellAnchor>
    <xdr:from>
      <xdr:col>0</xdr:col>
      <xdr:colOff>0</xdr:colOff>
      <xdr:row>54</xdr:row>
      <xdr:rowOff>0</xdr:rowOff>
    </xdr:from>
    <xdr:to>
      <xdr:col>2</xdr:col>
      <xdr:colOff>219075</xdr:colOff>
      <xdr:row>57</xdr:row>
      <xdr:rowOff>180975</xdr:rowOff>
    </xdr:to>
    <xdr:sp macro="" textlink="">
      <xdr:nvSpPr>
        <xdr:cNvPr id="4" name="テキスト 3">
          <a:extLst>
            <a:ext uri="{FF2B5EF4-FFF2-40B4-BE49-F238E27FC236}">
              <a16:creationId xmlns:a16="http://schemas.microsoft.com/office/drawing/2014/main" id="{B8FEC235-D766-4774-A35C-F8CDA85E9275}"/>
            </a:ext>
          </a:extLst>
        </xdr:cNvPr>
        <xdr:cNvSpPr txBox="1">
          <a:spLocks noChangeArrowheads="1"/>
        </xdr:cNvSpPr>
      </xdr:nvSpPr>
      <xdr:spPr bwMode="auto">
        <a:xfrm>
          <a:off x="0" y="14211300"/>
          <a:ext cx="695325" cy="752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ﾀｲﾄﾙ</a:t>
          </a:r>
        </a:p>
      </xdr:txBody>
    </xdr:sp>
    <xdr:clientData/>
  </xdr:twoCellAnchor>
  <xdr:twoCellAnchor>
    <xdr:from>
      <xdr:col>13</xdr:col>
      <xdr:colOff>0</xdr:colOff>
      <xdr:row>56</xdr:row>
      <xdr:rowOff>0</xdr:rowOff>
    </xdr:from>
    <xdr:to>
      <xdr:col>14</xdr:col>
      <xdr:colOff>0</xdr:colOff>
      <xdr:row>58</xdr:row>
      <xdr:rowOff>0</xdr:rowOff>
    </xdr:to>
    <xdr:sp macro="" textlink="">
      <xdr:nvSpPr>
        <xdr:cNvPr id="5" name="テキスト 4">
          <a:extLst>
            <a:ext uri="{FF2B5EF4-FFF2-40B4-BE49-F238E27FC236}">
              <a16:creationId xmlns:a16="http://schemas.microsoft.com/office/drawing/2014/main" id="{1519C867-A9EA-4E93-9D8F-30728C31C225}"/>
            </a:ext>
          </a:extLst>
        </xdr:cNvPr>
        <xdr:cNvSpPr txBox="1">
          <a:spLocks noChangeArrowheads="1"/>
        </xdr:cNvSpPr>
      </xdr:nvSpPr>
      <xdr:spPr bwMode="auto">
        <a:xfrm>
          <a:off x="3095625" y="14592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机上</a:t>
          </a:r>
        </a:p>
      </xdr:txBody>
    </xdr:sp>
    <xdr:clientData/>
  </xdr:twoCellAnchor>
  <xdr:twoCellAnchor>
    <xdr:from>
      <xdr:col>13</xdr:col>
      <xdr:colOff>0</xdr:colOff>
      <xdr:row>58</xdr:row>
      <xdr:rowOff>0</xdr:rowOff>
    </xdr:from>
    <xdr:to>
      <xdr:col>14</xdr:col>
      <xdr:colOff>0</xdr:colOff>
      <xdr:row>60</xdr:row>
      <xdr:rowOff>0</xdr:rowOff>
    </xdr:to>
    <xdr:sp macro="" textlink="">
      <xdr:nvSpPr>
        <xdr:cNvPr id="6" name="テキスト 6">
          <a:extLst>
            <a:ext uri="{FF2B5EF4-FFF2-40B4-BE49-F238E27FC236}">
              <a16:creationId xmlns:a16="http://schemas.microsoft.com/office/drawing/2014/main" id="{F11A9718-722B-4EB8-9563-D09FBC3DCB76}"/>
            </a:ext>
          </a:extLst>
        </xdr:cNvPr>
        <xdr:cNvSpPr txBox="1">
          <a:spLocks noChangeArrowheads="1"/>
        </xdr:cNvSpPr>
      </xdr:nvSpPr>
      <xdr:spPr bwMode="auto">
        <a:xfrm>
          <a:off x="3095625" y="14973300"/>
          <a:ext cx="790575" cy="3810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マシン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13</xdr:col>
      <xdr:colOff>792480</xdr:colOff>
      <xdr:row>1</xdr:row>
      <xdr:rowOff>1706880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E98A4126-70F6-486D-A6C8-671CF9B83AE8}"/>
            </a:ext>
          </a:extLst>
        </xdr:cNvPr>
        <xdr:cNvSpPr>
          <a:spLocks noChangeShapeType="1"/>
        </xdr:cNvSpPr>
      </xdr:nvSpPr>
      <xdr:spPr bwMode="auto">
        <a:xfrm>
          <a:off x="0" y="314325"/>
          <a:ext cx="3888105" cy="170688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95250</xdr:colOff>
      <xdr:row>1</xdr:row>
      <xdr:rowOff>1419225</xdr:rowOff>
    </xdr:from>
    <xdr:to>
      <xdr:col>12</xdr:col>
      <xdr:colOff>152400</xdr:colOff>
      <xdr:row>1</xdr:row>
      <xdr:rowOff>1676400</xdr:rowOff>
    </xdr:to>
    <xdr:sp macro="" textlink="">
      <xdr:nvSpPr>
        <xdr:cNvPr id="8" name="テキスト 11">
          <a:extLst>
            <a:ext uri="{FF2B5EF4-FFF2-40B4-BE49-F238E27FC236}">
              <a16:creationId xmlns:a16="http://schemas.microsoft.com/office/drawing/2014/main" id="{EF85DD16-CCB1-4A11-AF27-F1B0C67EED7E}"/>
            </a:ext>
          </a:extLst>
        </xdr:cNvPr>
        <xdr:cNvSpPr txBox="1">
          <a:spLocks noChangeArrowheads="1"/>
        </xdr:cNvSpPr>
      </xdr:nvSpPr>
      <xdr:spPr bwMode="auto">
        <a:xfrm>
          <a:off x="95250" y="1733550"/>
          <a:ext cx="2914650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チェック条件／確認内容</a:t>
          </a:r>
        </a:p>
      </xdr:txBody>
    </xdr:sp>
    <xdr:clientData/>
  </xdr:twoCellAnchor>
  <xdr:twoCellAnchor>
    <xdr:from>
      <xdr:col>9</xdr:col>
      <xdr:colOff>76200</xdr:colOff>
      <xdr:row>1</xdr:row>
      <xdr:rowOff>123825</xdr:rowOff>
    </xdr:from>
    <xdr:to>
      <xdr:col>13</xdr:col>
      <xdr:colOff>653396</xdr:colOff>
      <xdr:row>1</xdr:row>
      <xdr:rowOff>333375</xdr:rowOff>
    </xdr:to>
    <xdr:sp macro="" textlink="">
      <xdr:nvSpPr>
        <xdr:cNvPr id="9" name="テキスト 12">
          <a:extLst>
            <a:ext uri="{FF2B5EF4-FFF2-40B4-BE49-F238E27FC236}">
              <a16:creationId xmlns:a16="http://schemas.microsoft.com/office/drawing/2014/main" id="{188B0CF4-F812-4366-9E3D-02EE9EE56F4A}"/>
            </a:ext>
          </a:extLst>
        </xdr:cNvPr>
        <xdr:cNvSpPr txBox="1">
          <a:spLocks noChangeArrowheads="1"/>
        </xdr:cNvSpPr>
      </xdr:nvSpPr>
      <xdr:spPr bwMode="auto">
        <a:xfrm>
          <a:off x="2219325" y="438150"/>
          <a:ext cx="1529696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チェックＩＤ</a:t>
          </a:r>
        </a:p>
      </xdr:txBody>
    </xdr:sp>
    <xdr:clientData/>
  </xdr:twoCellAnchor>
  <xdr:twoCellAnchor>
    <xdr:from>
      <xdr:col>28</xdr:col>
      <xdr:colOff>182880</xdr:colOff>
      <xdr:row>65</xdr:row>
      <xdr:rowOff>106680</xdr:rowOff>
    </xdr:from>
    <xdr:to>
      <xdr:col>29</xdr:col>
      <xdr:colOff>144780</xdr:colOff>
      <xdr:row>67</xdr:row>
      <xdr:rowOff>121920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EC5ADFAA-0614-47D2-B1EF-051A8C85BFC5}"/>
            </a:ext>
          </a:extLst>
        </xdr:cNvPr>
        <xdr:cNvSpPr>
          <a:spLocks noChangeShapeType="1"/>
        </xdr:cNvSpPr>
      </xdr:nvSpPr>
      <xdr:spPr bwMode="auto">
        <a:xfrm flipV="1">
          <a:off x="7402830" y="16413480"/>
          <a:ext cx="200025" cy="3962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30480</xdr:colOff>
      <xdr:row>56</xdr:row>
      <xdr:rowOff>152400</xdr:rowOff>
    </xdr:from>
    <xdr:to>
      <xdr:col>14</xdr:col>
      <xdr:colOff>220980</xdr:colOff>
      <xdr:row>57</xdr:row>
      <xdr:rowOff>38100</xdr:rowOff>
    </xdr:to>
    <xdr:sp macro="" textlink="">
      <xdr:nvSpPr>
        <xdr:cNvPr id="11" name="Line 20">
          <a:extLst>
            <a:ext uri="{FF2B5EF4-FFF2-40B4-BE49-F238E27FC236}">
              <a16:creationId xmlns:a16="http://schemas.microsoft.com/office/drawing/2014/main" id="{BDF5CA01-3205-4D5B-8777-0708ECC030F1}"/>
            </a:ext>
          </a:extLst>
        </xdr:cNvPr>
        <xdr:cNvSpPr>
          <a:spLocks noChangeShapeType="1"/>
        </xdr:cNvSpPr>
      </xdr:nvSpPr>
      <xdr:spPr bwMode="auto">
        <a:xfrm flipV="1">
          <a:off x="39166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30480</xdr:colOff>
      <xdr:row>56</xdr:row>
      <xdr:rowOff>152400</xdr:rowOff>
    </xdr:from>
    <xdr:to>
      <xdr:col>15</xdr:col>
      <xdr:colOff>220980</xdr:colOff>
      <xdr:row>57</xdr:row>
      <xdr:rowOff>38100</xdr:rowOff>
    </xdr:to>
    <xdr:sp macro="" textlink="">
      <xdr:nvSpPr>
        <xdr:cNvPr id="12" name="Line 21">
          <a:extLst>
            <a:ext uri="{FF2B5EF4-FFF2-40B4-BE49-F238E27FC236}">
              <a16:creationId xmlns:a16="http://schemas.microsoft.com/office/drawing/2014/main" id="{2AFE662F-9196-4538-B29B-469EEF05665D}"/>
            </a:ext>
          </a:extLst>
        </xdr:cNvPr>
        <xdr:cNvSpPr>
          <a:spLocks noChangeShapeType="1"/>
        </xdr:cNvSpPr>
      </xdr:nvSpPr>
      <xdr:spPr bwMode="auto">
        <a:xfrm flipV="1">
          <a:off x="41548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30480</xdr:colOff>
      <xdr:row>56</xdr:row>
      <xdr:rowOff>152400</xdr:rowOff>
    </xdr:from>
    <xdr:to>
      <xdr:col>16</xdr:col>
      <xdr:colOff>220980</xdr:colOff>
      <xdr:row>57</xdr:row>
      <xdr:rowOff>38100</xdr:rowOff>
    </xdr:to>
    <xdr:sp macro="" textlink="">
      <xdr:nvSpPr>
        <xdr:cNvPr id="13" name="Line 22">
          <a:extLst>
            <a:ext uri="{FF2B5EF4-FFF2-40B4-BE49-F238E27FC236}">
              <a16:creationId xmlns:a16="http://schemas.microsoft.com/office/drawing/2014/main" id="{B42AE1BA-8843-4364-8EDB-5355BF5E5A20}"/>
            </a:ext>
          </a:extLst>
        </xdr:cNvPr>
        <xdr:cNvSpPr>
          <a:spLocks noChangeShapeType="1"/>
        </xdr:cNvSpPr>
      </xdr:nvSpPr>
      <xdr:spPr bwMode="auto">
        <a:xfrm flipV="1">
          <a:off x="43929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30480</xdr:colOff>
      <xdr:row>56</xdr:row>
      <xdr:rowOff>152400</xdr:rowOff>
    </xdr:from>
    <xdr:to>
      <xdr:col>17</xdr:col>
      <xdr:colOff>220980</xdr:colOff>
      <xdr:row>57</xdr:row>
      <xdr:rowOff>38100</xdr:rowOff>
    </xdr:to>
    <xdr:sp macro="" textlink="">
      <xdr:nvSpPr>
        <xdr:cNvPr id="14" name="Line 23">
          <a:extLst>
            <a:ext uri="{FF2B5EF4-FFF2-40B4-BE49-F238E27FC236}">
              <a16:creationId xmlns:a16="http://schemas.microsoft.com/office/drawing/2014/main" id="{3D5356CF-FAA2-435D-8152-3ABF6DCFBBC5}"/>
            </a:ext>
          </a:extLst>
        </xdr:cNvPr>
        <xdr:cNvSpPr>
          <a:spLocks noChangeShapeType="1"/>
        </xdr:cNvSpPr>
      </xdr:nvSpPr>
      <xdr:spPr bwMode="auto">
        <a:xfrm flipV="1">
          <a:off x="463105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30480</xdr:colOff>
      <xdr:row>56</xdr:row>
      <xdr:rowOff>152400</xdr:rowOff>
    </xdr:from>
    <xdr:to>
      <xdr:col>18</xdr:col>
      <xdr:colOff>220980</xdr:colOff>
      <xdr:row>57</xdr:row>
      <xdr:rowOff>38100</xdr:rowOff>
    </xdr:to>
    <xdr:sp macro="" textlink="">
      <xdr:nvSpPr>
        <xdr:cNvPr id="15" name="Line 24">
          <a:extLst>
            <a:ext uri="{FF2B5EF4-FFF2-40B4-BE49-F238E27FC236}">
              <a16:creationId xmlns:a16="http://schemas.microsoft.com/office/drawing/2014/main" id="{F9CA41F0-1AEE-4BA0-9A0D-CB03063F0780}"/>
            </a:ext>
          </a:extLst>
        </xdr:cNvPr>
        <xdr:cNvSpPr>
          <a:spLocks noChangeShapeType="1"/>
        </xdr:cNvSpPr>
      </xdr:nvSpPr>
      <xdr:spPr bwMode="auto">
        <a:xfrm flipV="1">
          <a:off x="48691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30480</xdr:colOff>
      <xdr:row>56</xdr:row>
      <xdr:rowOff>152400</xdr:rowOff>
    </xdr:from>
    <xdr:to>
      <xdr:col>19</xdr:col>
      <xdr:colOff>220980</xdr:colOff>
      <xdr:row>57</xdr:row>
      <xdr:rowOff>38100</xdr:rowOff>
    </xdr:to>
    <xdr:sp macro="" textlink="">
      <xdr:nvSpPr>
        <xdr:cNvPr id="16" name="Line 25">
          <a:extLst>
            <a:ext uri="{FF2B5EF4-FFF2-40B4-BE49-F238E27FC236}">
              <a16:creationId xmlns:a16="http://schemas.microsoft.com/office/drawing/2014/main" id="{7DD005C2-429F-45CE-A1FF-9E9CB6662C4B}"/>
            </a:ext>
          </a:extLst>
        </xdr:cNvPr>
        <xdr:cNvSpPr>
          <a:spLocks noChangeShapeType="1"/>
        </xdr:cNvSpPr>
      </xdr:nvSpPr>
      <xdr:spPr bwMode="auto">
        <a:xfrm flipV="1">
          <a:off x="51073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30480</xdr:colOff>
      <xdr:row>56</xdr:row>
      <xdr:rowOff>152400</xdr:rowOff>
    </xdr:from>
    <xdr:to>
      <xdr:col>20</xdr:col>
      <xdr:colOff>220980</xdr:colOff>
      <xdr:row>57</xdr:row>
      <xdr:rowOff>38100</xdr:rowOff>
    </xdr:to>
    <xdr:sp macro="" textlink="">
      <xdr:nvSpPr>
        <xdr:cNvPr id="17" name="Line 26">
          <a:extLst>
            <a:ext uri="{FF2B5EF4-FFF2-40B4-BE49-F238E27FC236}">
              <a16:creationId xmlns:a16="http://schemas.microsoft.com/office/drawing/2014/main" id="{3AA2B8B6-24EF-4942-B857-CADA133AABCB}"/>
            </a:ext>
          </a:extLst>
        </xdr:cNvPr>
        <xdr:cNvSpPr>
          <a:spLocks noChangeShapeType="1"/>
        </xdr:cNvSpPr>
      </xdr:nvSpPr>
      <xdr:spPr bwMode="auto">
        <a:xfrm flipV="1">
          <a:off x="53454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30480</xdr:colOff>
      <xdr:row>56</xdr:row>
      <xdr:rowOff>152400</xdr:rowOff>
    </xdr:from>
    <xdr:to>
      <xdr:col>21</xdr:col>
      <xdr:colOff>220980</xdr:colOff>
      <xdr:row>57</xdr:row>
      <xdr:rowOff>38100</xdr:rowOff>
    </xdr:to>
    <xdr:sp macro="" textlink="">
      <xdr:nvSpPr>
        <xdr:cNvPr id="18" name="Line 27">
          <a:extLst>
            <a:ext uri="{FF2B5EF4-FFF2-40B4-BE49-F238E27FC236}">
              <a16:creationId xmlns:a16="http://schemas.microsoft.com/office/drawing/2014/main" id="{B6FB5F6D-BA04-48EE-A205-2ECA6EB7614C}"/>
            </a:ext>
          </a:extLst>
        </xdr:cNvPr>
        <xdr:cNvSpPr>
          <a:spLocks noChangeShapeType="1"/>
        </xdr:cNvSpPr>
      </xdr:nvSpPr>
      <xdr:spPr bwMode="auto">
        <a:xfrm flipV="1">
          <a:off x="558355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30480</xdr:colOff>
      <xdr:row>56</xdr:row>
      <xdr:rowOff>152400</xdr:rowOff>
    </xdr:from>
    <xdr:to>
      <xdr:col>22</xdr:col>
      <xdr:colOff>220980</xdr:colOff>
      <xdr:row>57</xdr:row>
      <xdr:rowOff>38100</xdr:rowOff>
    </xdr:to>
    <xdr:sp macro="" textlink="">
      <xdr:nvSpPr>
        <xdr:cNvPr id="19" name="Line 28">
          <a:extLst>
            <a:ext uri="{FF2B5EF4-FFF2-40B4-BE49-F238E27FC236}">
              <a16:creationId xmlns:a16="http://schemas.microsoft.com/office/drawing/2014/main" id="{9CE98C2F-8B2A-4358-A390-79D41F6A0ABB}"/>
            </a:ext>
          </a:extLst>
        </xdr:cNvPr>
        <xdr:cNvSpPr>
          <a:spLocks noChangeShapeType="1"/>
        </xdr:cNvSpPr>
      </xdr:nvSpPr>
      <xdr:spPr bwMode="auto">
        <a:xfrm flipV="1">
          <a:off x="58216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30480</xdr:colOff>
      <xdr:row>56</xdr:row>
      <xdr:rowOff>152400</xdr:rowOff>
    </xdr:from>
    <xdr:to>
      <xdr:col>23</xdr:col>
      <xdr:colOff>220980</xdr:colOff>
      <xdr:row>57</xdr:row>
      <xdr:rowOff>38100</xdr:rowOff>
    </xdr:to>
    <xdr:sp macro="" textlink="">
      <xdr:nvSpPr>
        <xdr:cNvPr id="20" name="Line 29">
          <a:extLst>
            <a:ext uri="{FF2B5EF4-FFF2-40B4-BE49-F238E27FC236}">
              <a16:creationId xmlns:a16="http://schemas.microsoft.com/office/drawing/2014/main" id="{3961994D-A6AB-42AF-813F-84D9F23857B2}"/>
            </a:ext>
          </a:extLst>
        </xdr:cNvPr>
        <xdr:cNvSpPr>
          <a:spLocks noChangeShapeType="1"/>
        </xdr:cNvSpPr>
      </xdr:nvSpPr>
      <xdr:spPr bwMode="auto">
        <a:xfrm flipV="1">
          <a:off x="60598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30480</xdr:colOff>
      <xdr:row>56</xdr:row>
      <xdr:rowOff>152400</xdr:rowOff>
    </xdr:from>
    <xdr:to>
      <xdr:col>24</xdr:col>
      <xdr:colOff>220980</xdr:colOff>
      <xdr:row>57</xdr:row>
      <xdr:rowOff>38100</xdr:rowOff>
    </xdr:to>
    <xdr:sp macro="" textlink="">
      <xdr:nvSpPr>
        <xdr:cNvPr id="21" name="Line 30">
          <a:extLst>
            <a:ext uri="{FF2B5EF4-FFF2-40B4-BE49-F238E27FC236}">
              <a16:creationId xmlns:a16="http://schemas.microsoft.com/office/drawing/2014/main" id="{0C816894-47BD-45BB-AB54-3F11831D9CC7}"/>
            </a:ext>
          </a:extLst>
        </xdr:cNvPr>
        <xdr:cNvSpPr>
          <a:spLocks noChangeShapeType="1"/>
        </xdr:cNvSpPr>
      </xdr:nvSpPr>
      <xdr:spPr bwMode="auto">
        <a:xfrm flipV="1">
          <a:off x="62979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30480</xdr:colOff>
      <xdr:row>56</xdr:row>
      <xdr:rowOff>152400</xdr:rowOff>
    </xdr:from>
    <xdr:to>
      <xdr:col>25</xdr:col>
      <xdr:colOff>220980</xdr:colOff>
      <xdr:row>57</xdr:row>
      <xdr:rowOff>38100</xdr:rowOff>
    </xdr:to>
    <xdr:sp macro="" textlink="">
      <xdr:nvSpPr>
        <xdr:cNvPr id="22" name="Line 31">
          <a:extLst>
            <a:ext uri="{FF2B5EF4-FFF2-40B4-BE49-F238E27FC236}">
              <a16:creationId xmlns:a16="http://schemas.microsoft.com/office/drawing/2014/main" id="{413A00F7-AE9B-436A-BF0E-EBF7CB6E2883}"/>
            </a:ext>
          </a:extLst>
        </xdr:cNvPr>
        <xdr:cNvSpPr>
          <a:spLocks noChangeShapeType="1"/>
        </xdr:cNvSpPr>
      </xdr:nvSpPr>
      <xdr:spPr bwMode="auto">
        <a:xfrm flipV="1">
          <a:off x="653605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30480</xdr:colOff>
      <xdr:row>56</xdr:row>
      <xdr:rowOff>152400</xdr:rowOff>
    </xdr:from>
    <xdr:to>
      <xdr:col>26</xdr:col>
      <xdr:colOff>220980</xdr:colOff>
      <xdr:row>57</xdr:row>
      <xdr:rowOff>38100</xdr:rowOff>
    </xdr:to>
    <xdr:sp macro="" textlink="">
      <xdr:nvSpPr>
        <xdr:cNvPr id="23" name="Line 32">
          <a:extLst>
            <a:ext uri="{FF2B5EF4-FFF2-40B4-BE49-F238E27FC236}">
              <a16:creationId xmlns:a16="http://schemas.microsoft.com/office/drawing/2014/main" id="{C14C25C8-F890-4020-8C25-E7328BD08151}"/>
            </a:ext>
          </a:extLst>
        </xdr:cNvPr>
        <xdr:cNvSpPr>
          <a:spLocks noChangeShapeType="1"/>
        </xdr:cNvSpPr>
      </xdr:nvSpPr>
      <xdr:spPr bwMode="auto">
        <a:xfrm flipV="1">
          <a:off x="67741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30480</xdr:colOff>
      <xdr:row>56</xdr:row>
      <xdr:rowOff>152400</xdr:rowOff>
    </xdr:from>
    <xdr:to>
      <xdr:col>27</xdr:col>
      <xdr:colOff>220980</xdr:colOff>
      <xdr:row>57</xdr:row>
      <xdr:rowOff>38100</xdr:rowOff>
    </xdr:to>
    <xdr:sp macro="" textlink="">
      <xdr:nvSpPr>
        <xdr:cNvPr id="24" name="Line 33">
          <a:extLst>
            <a:ext uri="{FF2B5EF4-FFF2-40B4-BE49-F238E27FC236}">
              <a16:creationId xmlns:a16="http://schemas.microsoft.com/office/drawing/2014/main" id="{330092B6-58D0-48E7-8458-D9498A94DBDB}"/>
            </a:ext>
          </a:extLst>
        </xdr:cNvPr>
        <xdr:cNvSpPr>
          <a:spLocks noChangeShapeType="1"/>
        </xdr:cNvSpPr>
      </xdr:nvSpPr>
      <xdr:spPr bwMode="auto">
        <a:xfrm flipV="1">
          <a:off x="70123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30480</xdr:colOff>
      <xdr:row>56</xdr:row>
      <xdr:rowOff>152400</xdr:rowOff>
    </xdr:from>
    <xdr:to>
      <xdr:col>28</xdr:col>
      <xdr:colOff>220980</xdr:colOff>
      <xdr:row>57</xdr:row>
      <xdr:rowOff>38100</xdr:rowOff>
    </xdr:to>
    <xdr:sp macro="" textlink="">
      <xdr:nvSpPr>
        <xdr:cNvPr id="25" name="Line 34">
          <a:extLst>
            <a:ext uri="{FF2B5EF4-FFF2-40B4-BE49-F238E27FC236}">
              <a16:creationId xmlns:a16="http://schemas.microsoft.com/office/drawing/2014/main" id="{4C7ADA94-FAC8-4B06-9410-4B9E9D0D141A}"/>
            </a:ext>
          </a:extLst>
        </xdr:cNvPr>
        <xdr:cNvSpPr>
          <a:spLocks noChangeShapeType="1"/>
        </xdr:cNvSpPr>
      </xdr:nvSpPr>
      <xdr:spPr bwMode="auto">
        <a:xfrm flipV="1">
          <a:off x="72504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30480</xdr:colOff>
      <xdr:row>56</xdr:row>
      <xdr:rowOff>152400</xdr:rowOff>
    </xdr:from>
    <xdr:to>
      <xdr:col>29</xdr:col>
      <xdr:colOff>220980</xdr:colOff>
      <xdr:row>57</xdr:row>
      <xdr:rowOff>38100</xdr:rowOff>
    </xdr:to>
    <xdr:sp macro="" textlink="">
      <xdr:nvSpPr>
        <xdr:cNvPr id="26" name="Line 35">
          <a:extLst>
            <a:ext uri="{FF2B5EF4-FFF2-40B4-BE49-F238E27FC236}">
              <a16:creationId xmlns:a16="http://schemas.microsoft.com/office/drawing/2014/main" id="{4A4213BA-081D-4EF8-B169-86257D8FB5B9}"/>
            </a:ext>
          </a:extLst>
        </xdr:cNvPr>
        <xdr:cNvSpPr>
          <a:spLocks noChangeShapeType="1"/>
        </xdr:cNvSpPr>
      </xdr:nvSpPr>
      <xdr:spPr bwMode="auto">
        <a:xfrm flipV="1">
          <a:off x="748855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30480</xdr:colOff>
      <xdr:row>56</xdr:row>
      <xdr:rowOff>152400</xdr:rowOff>
    </xdr:from>
    <xdr:to>
      <xdr:col>30</xdr:col>
      <xdr:colOff>220980</xdr:colOff>
      <xdr:row>57</xdr:row>
      <xdr:rowOff>38100</xdr:rowOff>
    </xdr:to>
    <xdr:sp macro="" textlink="">
      <xdr:nvSpPr>
        <xdr:cNvPr id="27" name="Line 36">
          <a:extLst>
            <a:ext uri="{FF2B5EF4-FFF2-40B4-BE49-F238E27FC236}">
              <a16:creationId xmlns:a16="http://schemas.microsoft.com/office/drawing/2014/main" id="{B300A7BA-0D56-41C1-A26D-2823035E7AE8}"/>
            </a:ext>
          </a:extLst>
        </xdr:cNvPr>
        <xdr:cNvSpPr>
          <a:spLocks noChangeShapeType="1"/>
        </xdr:cNvSpPr>
      </xdr:nvSpPr>
      <xdr:spPr bwMode="auto">
        <a:xfrm flipV="1">
          <a:off x="77266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30480</xdr:colOff>
      <xdr:row>56</xdr:row>
      <xdr:rowOff>152400</xdr:rowOff>
    </xdr:from>
    <xdr:to>
      <xdr:col>31</xdr:col>
      <xdr:colOff>220980</xdr:colOff>
      <xdr:row>57</xdr:row>
      <xdr:rowOff>38100</xdr:rowOff>
    </xdr:to>
    <xdr:sp macro="" textlink="">
      <xdr:nvSpPr>
        <xdr:cNvPr id="28" name="Line 37">
          <a:extLst>
            <a:ext uri="{FF2B5EF4-FFF2-40B4-BE49-F238E27FC236}">
              <a16:creationId xmlns:a16="http://schemas.microsoft.com/office/drawing/2014/main" id="{3828927E-524D-451E-B63F-5A39414E426F}"/>
            </a:ext>
          </a:extLst>
        </xdr:cNvPr>
        <xdr:cNvSpPr>
          <a:spLocks noChangeShapeType="1"/>
        </xdr:cNvSpPr>
      </xdr:nvSpPr>
      <xdr:spPr bwMode="auto">
        <a:xfrm flipV="1">
          <a:off x="79648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30480</xdr:colOff>
      <xdr:row>56</xdr:row>
      <xdr:rowOff>152400</xdr:rowOff>
    </xdr:from>
    <xdr:to>
      <xdr:col>32</xdr:col>
      <xdr:colOff>220980</xdr:colOff>
      <xdr:row>57</xdr:row>
      <xdr:rowOff>38100</xdr:rowOff>
    </xdr:to>
    <xdr:sp macro="" textlink="">
      <xdr:nvSpPr>
        <xdr:cNvPr id="29" name="Line 38">
          <a:extLst>
            <a:ext uri="{FF2B5EF4-FFF2-40B4-BE49-F238E27FC236}">
              <a16:creationId xmlns:a16="http://schemas.microsoft.com/office/drawing/2014/main" id="{5FB1F095-1CA3-4837-A553-E94E8D1A01A6}"/>
            </a:ext>
          </a:extLst>
        </xdr:cNvPr>
        <xdr:cNvSpPr>
          <a:spLocks noChangeShapeType="1"/>
        </xdr:cNvSpPr>
      </xdr:nvSpPr>
      <xdr:spPr bwMode="auto">
        <a:xfrm flipV="1">
          <a:off x="82029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30480</xdr:colOff>
      <xdr:row>56</xdr:row>
      <xdr:rowOff>152400</xdr:rowOff>
    </xdr:from>
    <xdr:to>
      <xdr:col>33</xdr:col>
      <xdr:colOff>220980</xdr:colOff>
      <xdr:row>57</xdr:row>
      <xdr:rowOff>38100</xdr:rowOff>
    </xdr:to>
    <xdr:sp macro="" textlink="">
      <xdr:nvSpPr>
        <xdr:cNvPr id="30" name="Line 39">
          <a:extLst>
            <a:ext uri="{FF2B5EF4-FFF2-40B4-BE49-F238E27FC236}">
              <a16:creationId xmlns:a16="http://schemas.microsoft.com/office/drawing/2014/main" id="{52005D04-A387-4E39-8E2A-1212DF16F95A}"/>
            </a:ext>
          </a:extLst>
        </xdr:cNvPr>
        <xdr:cNvSpPr>
          <a:spLocks noChangeShapeType="1"/>
        </xdr:cNvSpPr>
      </xdr:nvSpPr>
      <xdr:spPr bwMode="auto">
        <a:xfrm flipV="1">
          <a:off x="844105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30480</xdr:colOff>
      <xdr:row>56</xdr:row>
      <xdr:rowOff>152400</xdr:rowOff>
    </xdr:from>
    <xdr:to>
      <xdr:col>34</xdr:col>
      <xdr:colOff>220980</xdr:colOff>
      <xdr:row>57</xdr:row>
      <xdr:rowOff>38100</xdr:rowOff>
    </xdr:to>
    <xdr:sp macro="" textlink="">
      <xdr:nvSpPr>
        <xdr:cNvPr id="31" name="Line 40">
          <a:extLst>
            <a:ext uri="{FF2B5EF4-FFF2-40B4-BE49-F238E27FC236}">
              <a16:creationId xmlns:a16="http://schemas.microsoft.com/office/drawing/2014/main" id="{788FB6EC-4934-48A0-8824-FB1F36DDAB34}"/>
            </a:ext>
          </a:extLst>
        </xdr:cNvPr>
        <xdr:cNvSpPr>
          <a:spLocks noChangeShapeType="1"/>
        </xdr:cNvSpPr>
      </xdr:nvSpPr>
      <xdr:spPr bwMode="auto">
        <a:xfrm flipV="1">
          <a:off x="867918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30480</xdr:colOff>
      <xdr:row>56</xdr:row>
      <xdr:rowOff>152400</xdr:rowOff>
    </xdr:from>
    <xdr:to>
      <xdr:col>35</xdr:col>
      <xdr:colOff>220980</xdr:colOff>
      <xdr:row>57</xdr:row>
      <xdr:rowOff>38100</xdr:rowOff>
    </xdr:to>
    <xdr:sp macro="" textlink="">
      <xdr:nvSpPr>
        <xdr:cNvPr id="32" name="Line 41">
          <a:extLst>
            <a:ext uri="{FF2B5EF4-FFF2-40B4-BE49-F238E27FC236}">
              <a16:creationId xmlns:a16="http://schemas.microsoft.com/office/drawing/2014/main" id="{6967D25A-A223-4AF0-9A09-8F5AE4ABBA21}"/>
            </a:ext>
          </a:extLst>
        </xdr:cNvPr>
        <xdr:cNvSpPr>
          <a:spLocks noChangeShapeType="1"/>
        </xdr:cNvSpPr>
      </xdr:nvSpPr>
      <xdr:spPr bwMode="auto">
        <a:xfrm flipV="1">
          <a:off x="8917305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30480</xdr:colOff>
      <xdr:row>56</xdr:row>
      <xdr:rowOff>152400</xdr:rowOff>
    </xdr:from>
    <xdr:to>
      <xdr:col>36</xdr:col>
      <xdr:colOff>220980</xdr:colOff>
      <xdr:row>57</xdr:row>
      <xdr:rowOff>38100</xdr:rowOff>
    </xdr:to>
    <xdr:sp macro="" textlink="">
      <xdr:nvSpPr>
        <xdr:cNvPr id="33" name="Line 42">
          <a:extLst>
            <a:ext uri="{FF2B5EF4-FFF2-40B4-BE49-F238E27FC236}">
              <a16:creationId xmlns:a16="http://schemas.microsoft.com/office/drawing/2014/main" id="{D6AFEF73-F301-4261-8D67-53CE65B7C022}"/>
            </a:ext>
          </a:extLst>
        </xdr:cNvPr>
        <xdr:cNvSpPr>
          <a:spLocks noChangeShapeType="1"/>
        </xdr:cNvSpPr>
      </xdr:nvSpPr>
      <xdr:spPr bwMode="auto">
        <a:xfrm flipV="1">
          <a:off x="9155430" y="14744700"/>
          <a:ext cx="1905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38100</xdr:colOff>
      <xdr:row>58</xdr:row>
      <xdr:rowOff>160020</xdr:rowOff>
    </xdr:from>
    <xdr:to>
      <xdr:col>14</xdr:col>
      <xdr:colOff>236220</xdr:colOff>
      <xdr:row>59</xdr:row>
      <xdr:rowOff>45720</xdr:rowOff>
    </xdr:to>
    <xdr:sp macro="" textlink="">
      <xdr:nvSpPr>
        <xdr:cNvPr id="34" name="Line 43">
          <a:extLst>
            <a:ext uri="{FF2B5EF4-FFF2-40B4-BE49-F238E27FC236}">
              <a16:creationId xmlns:a16="http://schemas.microsoft.com/office/drawing/2014/main" id="{717EB141-AAC3-400D-AF3E-2D151BA18FAE}"/>
            </a:ext>
          </a:extLst>
        </xdr:cNvPr>
        <xdr:cNvSpPr>
          <a:spLocks noChangeShapeType="1"/>
        </xdr:cNvSpPr>
      </xdr:nvSpPr>
      <xdr:spPr bwMode="auto">
        <a:xfrm flipV="1">
          <a:off x="39243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38100</xdr:colOff>
      <xdr:row>58</xdr:row>
      <xdr:rowOff>160020</xdr:rowOff>
    </xdr:from>
    <xdr:to>
      <xdr:col>15</xdr:col>
      <xdr:colOff>236220</xdr:colOff>
      <xdr:row>59</xdr:row>
      <xdr:rowOff>45720</xdr:rowOff>
    </xdr:to>
    <xdr:sp macro="" textlink="">
      <xdr:nvSpPr>
        <xdr:cNvPr id="35" name="Line 44">
          <a:extLst>
            <a:ext uri="{FF2B5EF4-FFF2-40B4-BE49-F238E27FC236}">
              <a16:creationId xmlns:a16="http://schemas.microsoft.com/office/drawing/2014/main" id="{23981597-B50F-49D1-A747-56183E33D43C}"/>
            </a:ext>
          </a:extLst>
        </xdr:cNvPr>
        <xdr:cNvSpPr>
          <a:spLocks noChangeShapeType="1"/>
        </xdr:cNvSpPr>
      </xdr:nvSpPr>
      <xdr:spPr bwMode="auto">
        <a:xfrm flipV="1">
          <a:off x="41624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38100</xdr:colOff>
      <xdr:row>58</xdr:row>
      <xdr:rowOff>160020</xdr:rowOff>
    </xdr:from>
    <xdr:to>
      <xdr:col>16</xdr:col>
      <xdr:colOff>236220</xdr:colOff>
      <xdr:row>59</xdr:row>
      <xdr:rowOff>45720</xdr:rowOff>
    </xdr:to>
    <xdr:sp macro="" textlink="">
      <xdr:nvSpPr>
        <xdr:cNvPr id="36" name="Line 45">
          <a:extLst>
            <a:ext uri="{FF2B5EF4-FFF2-40B4-BE49-F238E27FC236}">
              <a16:creationId xmlns:a16="http://schemas.microsoft.com/office/drawing/2014/main" id="{08F49F39-4475-4EE9-977A-D317AEA1AC07}"/>
            </a:ext>
          </a:extLst>
        </xdr:cNvPr>
        <xdr:cNvSpPr>
          <a:spLocks noChangeShapeType="1"/>
        </xdr:cNvSpPr>
      </xdr:nvSpPr>
      <xdr:spPr bwMode="auto">
        <a:xfrm flipV="1">
          <a:off x="44005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38100</xdr:colOff>
      <xdr:row>58</xdr:row>
      <xdr:rowOff>160020</xdr:rowOff>
    </xdr:from>
    <xdr:to>
      <xdr:col>17</xdr:col>
      <xdr:colOff>236220</xdr:colOff>
      <xdr:row>59</xdr:row>
      <xdr:rowOff>45720</xdr:rowOff>
    </xdr:to>
    <xdr:sp macro="" textlink="">
      <xdr:nvSpPr>
        <xdr:cNvPr id="37" name="Line 46">
          <a:extLst>
            <a:ext uri="{FF2B5EF4-FFF2-40B4-BE49-F238E27FC236}">
              <a16:creationId xmlns:a16="http://schemas.microsoft.com/office/drawing/2014/main" id="{25AC91FE-ACC5-44E8-AD24-F73FE6A5E4B8}"/>
            </a:ext>
          </a:extLst>
        </xdr:cNvPr>
        <xdr:cNvSpPr>
          <a:spLocks noChangeShapeType="1"/>
        </xdr:cNvSpPr>
      </xdr:nvSpPr>
      <xdr:spPr bwMode="auto">
        <a:xfrm flipV="1">
          <a:off x="463867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38100</xdr:colOff>
      <xdr:row>58</xdr:row>
      <xdr:rowOff>160020</xdr:rowOff>
    </xdr:from>
    <xdr:to>
      <xdr:col>18</xdr:col>
      <xdr:colOff>236220</xdr:colOff>
      <xdr:row>59</xdr:row>
      <xdr:rowOff>45720</xdr:rowOff>
    </xdr:to>
    <xdr:sp macro="" textlink="">
      <xdr:nvSpPr>
        <xdr:cNvPr id="38" name="Line 47">
          <a:extLst>
            <a:ext uri="{FF2B5EF4-FFF2-40B4-BE49-F238E27FC236}">
              <a16:creationId xmlns:a16="http://schemas.microsoft.com/office/drawing/2014/main" id="{3BDB8DB7-EDEA-4F3C-85D3-1CBC2EA71E79}"/>
            </a:ext>
          </a:extLst>
        </xdr:cNvPr>
        <xdr:cNvSpPr>
          <a:spLocks noChangeShapeType="1"/>
        </xdr:cNvSpPr>
      </xdr:nvSpPr>
      <xdr:spPr bwMode="auto">
        <a:xfrm flipV="1">
          <a:off x="48768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38100</xdr:colOff>
      <xdr:row>58</xdr:row>
      <xdr:rowOff>160020</xdr:rowOff>
    </xdr:from>
    <xdr:to>
      <xdr:col>19</xdr:col>
      <xdr:colOff>236220</xdr:colOff>
      <xdr:row>59</xdr:row>
      <xdr:rowOff>45720</xdr:rowOff>
    </xdr:to>
    <xdr:sp macro="" textlink="">
      <xdr:nvSpPr>
        <xdr:cNvPr id="39" name="Line 48">
          <a:extLst>
            <a:ext uri="{FF2B5EF4-FFF2-40B4-BE49-F238E27FC236}">
              <a16:creationId xmlns:a16="http://schemas.microsoft.com/office/drawing/2014/main" id="{5802A14D-BF54-450F-8905-E8FBB7A74B71}"/>
            </a:ext>
          </a:extLst>
        </xdr:cNvPr>
        <xdr:cNvSpPr>
          <a:spLocks noChangeShapeType="1"/>
        </xdr:cNvSpPr>
      </xdr:nvSpPr>
      <xdr:spPr bwMode="auto">
        <a:xfrm flipV="1">
          <a:off x="51149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38100</xdr:colOff>
      <xdr:row>58</xdr:row>
      <xdr:rowOff>160020</xdr:rowOff>
    </xdr:from>
    <xdr:to>
      <xdr:col>20</xdr:col>
      <xdr:colOff>236220</xdr:colOff>
      <xdr:row>59</xdr:row>
      <xdr:rowOff>45720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6C3854D3-38B9-4463-AEF5-B9FE05FBACC0}"/>
            </a:ext>
          </a:extLst>
        </xdr:cNvPr>
        <xdr:cNvSpPr>
          <a:spLocks noChangeShapeType="1"/>
        </xdr:cNvSpPr>
      </xdr:nvSpPr>
      <xdr:spPr bwMode="auto">
        <a:xfrm flipV="1">
          <a:off x="53530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38100</xdr:colOff>
      <xdr:row>58</xdr:row>
      <xdr:rowOff>160020</xdr:rowOff>
    </xdr:from>
    <xdr:to>
      <xdr:col>21</xdr:col>
      <xdr:colOff>236220</xdr:colOff>
      <xdr:row>59</xdr:row>
      <xdr:rowOff>45720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D882126-8604-481C-8878-2801824EB19F}"/>
            </a:ext>
          </a:extLst>
        </xdr:cNvPr>
        <xdr:cNvSpPr>
          <a:spLocks noChangeShapeType="1"/>
        </xdr:cNvSpPr>
      </xdr:nvSpPr>
      <xdr:spPr bwMode="auto">
        <a:xfrm flipV="1">
          <a:off x="559117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38100</xdr:colOff>
      <xdr:row>58</xdr:row>
      <xdr:rowOff>160020</xdr:rowOff>
    </xdr:from>
    <xdr:to>
      <xdr:col>22</xdr:col>
      <xdr:colOff>236220</xdr:colOff>
      <xdr:row>59</xdr:row>
      <xdr:rowOff>45720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496387A9-0982-44E1-BF25-AEA07BA09103}"/>
            </a:ext>
          </a:extLst>
        </xdr:cNvPr>
        <xdr:cNvSpPr>
          <a:spLocks noChangeShapeType="1"/>
        </xdr:cNvSpPr>
      </xdr:nvSpPr>
      <xdr:spPr bwMode="auto">
        <a:xfrm flipV="1">
          <a:off x="58293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38100</xdr:colOff>
      <xdr:row>58</xdr:row>
      <xdr:rowOff>160020</xdr:rowOff>
    </xdr:from>
    <xdr:to>
      <xdr:col>23</xdr:col>
      <xdr:colOff>236220</xdr:colOff>
      <xdr:row>59</xdr:row>
      <xdr:rowOff>45720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3EB30611-98EF-4AFF-9D2E-EAE767A384B7}"/>
            </a:ext>
          </a:extLst>
        </xdr:cNvPr>
        <xdr:cNvSpPr>
          <a:spLocks noChangeShapeType="1"/>
        </xdr:cNvSpPr>
      </xdr:nvSpPr>
      <xdr:spPr bwMode="auto">
        <a:xfrm flipV="1">
          <a:off x="60674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38100</xdr:colOff>
      <xdr:row>58</xdr:row>
      <xdr:rowOff>160020</xdr:rowOff>
    </xdr:from>
    <xdr:to>
      <xdr:col>24</xdr:col>
      <xdr:colOff>236220</xdr:colOff>
      <xdr:row>59</xdr:row>
      <xdr:rowOff>45720</xdr:rowOff>
    </xdr:to>
    <xdr:sp macro="" textlink="">
      <xdr:nvSpPr>
        <xdr:cNvPr id="44" name="Line 53">
          <a:extLst>
            <a:ext uri="{FF2B5EF4-FFF2-40B4-BE49-F238E27FC236}">
              <a16:creationId xmlns:a16="http://schemas.microsoft.com/office/drawing/2014/main" id="{5A5DAA2F-4FA6-4982-803B-0DAEE181A049}"/>
            </a:ext>
          </a:extLst>
        </xdr:cNvPr>
        <xdr:cNvSpPr>
          <a:spLocks noChangeShapeType="1"/>
        </xdr:cNvSpPr>
      </xdr:nvSpPr>
      <xdr:spPr bwMode="auto">
        <a:xfrm flipV="1">
          <a:off x="63055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38100</xdr:colOff>
      <xdr:row>58</xdr:row>
      <xdr:rowOff>160020</xdr:rowOff>
    </xdr:from>
    <xdr:to>
      <xdr:col>25</xdr:col>
      <xdr:colOff>236220</xdr:colOff>
      <xdr:row>59</xdr:row>
      <xdr:rowOff>45720</xdr:rowOff>
    </xdr:to>
    <xdr:sp macro="" textlink="">
      <xdr:nvSpPr>
        <xdr:cNvPr id="45" name="Line 54">
          <a:extLst>
            <a:ext uri="{FF2B5EF4-FFF2-40B4-BE49-F238E27FC236}">
              <a16:creationId xmlns:a16="http://schemas.microsoft.com/office/drawing/2014/main" id="{E9958B1B-D569-43FB-AC44-D9AD0F04544C}"/>
            </a:ext>
          </a:extLst>
        </xdr:cNvPr>
        <xdr:cNvSpPr>
          <a:spLocks noChangeShapeType="1"/>
        </xdr:cNvSpPr>
      </xdr:nvSpPr>
      <xdr:spPr bwMode="auto">
        <a:xfrm flipV="1">
          <a:off x="654367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38100</xdr:colOff>
      <xdr:row>58</xdr:row>
      <xdr:rowOff>160020</xdr:rowOff>
    </xdr:from>
    <xdr:to>
      <xdr:col>26</xdr:col>
      <xdr:colOff>236220</xdr:colOff>
      <xdr:row>59</xdr:row>
      <xdr:rowOff>45720</xdr:rowOff>
    </xdr:to>
    <xdr:sp macro="" textlink="">
      <xdr:nvSpPr>
        <xdr:cNvPr id="46" name="Line 55">
          <a:extLst>
            <a:ext uri="{FF2B5EF4-FFF2-40B4-BE49-F238E27FC236}">
              <a16:creationId xmlns:a16="http://schemas.microsoft.com/office/drawing/2014/main" id="{04C75B3E-3DC3-4DF1-AE2D-0DC1695D46D8}"/>
            </a:ext>
          </a:extLst>
        </xdr:cNvPr>
        <xdr:cNvSpPr>
          <a:spLocks noChangeShapeType="1"/>
        </xdr:cNvSpPr>
      </xdr:nvSpPr>
      <xdr:spPr bwMode="auto">
        <a:xfrm flipV="1">
          <a:off x="67818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38100</xdr:colOff>
      <xdr:row>58</xdr:row>
      <xdr:rowOff>160020</xdr:rowOff>
    </xdr:from>
    <xdr:to>
      <xdr:col>27</xdr:col>
      <xdr:colOff>236220</xdr:colOff>
      <xdr:row>59</xdr:row>
      <xdr:rowOff>45720</xdr:rowOff>
    </xdr:to>
    <xdr:sp macro="" textlink="">
      <xdr:nvSpPr>
        <xdr:cNvPr id="47" name="Line 56">
          <a:extLst>
            <a:ext uri="{FF2B5EF4-FFF2-40B4-BE49-F238E27FC236}">
              <a16:creationId xmlns:a16="http://schemas.microsoft.com/office/drawing/2014/main" id="{3634A452-2775-46A6-B5E1-81B8CC6C9826}"/>
            </a:ext>
          </a:extLst>
        </xdr:cNvPr>
        <xdr:cNvSpPr>
          <a:spLocks noChangeShapeType="1"/>
        </xdr:cNvSpPr>
      </xdr:nvSpPr>
      <xdr:spPr bwMode="auto">
        <a:xfrm flipV="1">
          <a:off x="70199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38100</xdr:colOff>
      <xdr:row>58</xdr:row>
      <xdr:rowOff>160020</xdr:rowOff>
    </xdr:from>
    <xdr:to>
      <xdr:col>28</xdr:col>
      <xdr:colOff>236220</xdr:colOff>
      <xdr:row>59</xdr:row>
      <xdr:rowOff>45720</xdr:rowOff>
    </xdr:to>
    <xdr:sp macro="" textlink="">
      <xdr:nvSpPr>
        <xdr:cNvPr id="48" name="Line 57">
          <a:extLst>
            <a:ext uri="{FF2B5EF4-FFF2-40B4-BE49-F238E27FC236}">
              <a16:creationId xmlns:a16="http://schemas.microsoft.com/office/drawing/2014/main" id="{303901F1-083C-486A-979C-711035DAD43E}"/>
            </a:ext>
          </a:extLst>
        </xdr:cNvPr>
        <xdr:cNvSpPr>
          <a:spLocks noChangeShapeType="1"/>
        </xdr:cNvSpPr>
      </xdr:nvSpPr>
      <xdr:spPr bwMode="auto">
        <a:xfrm flipV="1">
          <a:off x="72580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38100</xdr:colOff>
      <xdr:row>58</xdr:row>
      <xdr:rowOff>160020</xdr:rowOff>
    </xdr:from>
    <xdr:to>
      <xdr:col>29</xdr:col>
      <xdr:colOff>236220</xdr:colOff>
      <xdr:row>59</xdr:row>
      <xdr:rowOff>45720</xdr:rowOff>
    </xdr:to>
    <xdr:sp macro="" textlink="">
      <xdr:nvSpPr>
        <xdr:cNvPr id="49" name="Line 58">
          <a:extLst>
            <a:ext uri="{FF2B5EF4-FFF2-40B4-BE49-F238E27FC236}">
              <a16:creationId xmlns:a16="http://schemas.microsoft.com/office/drawing/2014/main" id="{8A954377-DBD6-4888-A654-C7360F45601D}"/>
            </a:ext>
          </a:extLst>
        </xdr:cNvPr>
        <xdr:cNvSpPr>
          <a:spLocks noChangeShapeType="1"/>
        </xdr:cNvSpPr>
      </xdr:nvSpPr>
      <xdr:spPr bwMode="auto">
        <a:xfrm flipV="1">
          <a:off x="749617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38100</xdr:colOff>
      <xdr:row>58</xdr:row>
      <xdr:rowOff>160020</xdr:rowOff>
    </xdr:from>
    <xdr:to>
      <xdr:col>30</xdr:col>
      <xdr:colOff>236220</xdr:colOff>
      <xdr:row>59</xdr:row>
      <xdr:rowOff>45720</xdr:rowOff>
    </xdr:to>
    <xdr:sp macro="" textlink="">
      <xdr:nvSpPr>
        <xdr:cNvPr id="50" name="Line 59">
          <a:extLst>
            <a:ext uri="{FF2B5EF4-FFF2-40B4-BE49-F238E27FC236}">
              <a16:creationId xmlns:a16="http://schemas.microsoft.com/office/drawing/2014/main" id="{B3DC30F1-5735-43E7-8993-6618F637B790}"/>
            </a:ext>
          </a:extLst>
        </xdr:cNvPr>
        <xdr:cNvSpPr>
          <a:spLocks noChangeShapeType="1"/>
        </xdr:cNvSpPr>
      </xdr:nvSpPr>
      <xdr:spPr bwMode="auto">
        <a:xfrm flipV="1">
          <a:off x="77343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38100</xdr:colOff>
      <xdr:row>58</xdr:row>
      <xdr:rowOff>160020</xdr:rowOff>
    </xdr:from>
    <xdr:to>
      <xdr:col>31</xdr:col>
      <xdr:colOff>236220</xdr:colOff>
      <xdr:row>59</xdr:row>
      <xdr:rowOff>45720</xdr:rowOff>
    </xdr:to>
    <xdr:sp macro="" textlink="">
      <xdr:nvSpPr>
        <xdr:cNvPr id="51" name="Line 60">
          <a:extLst>
            <a:ext uri="{FF2B5EF4-FFF2-40B4-BE49-F238E27FC236}">
              <a16:creationId xmlns:a16="http://schemas.microsoft.com/office/drawing/2014/main" id="{F818785B-5038-45CD-9D9D-F63CD1EFF341}"/>
            </a:ext>
          </a:extLst>
        </xdr:cNvPr>
        <xdr:cNvSpPr>
          <a:spLocks noChangeShapeType="1"/>
        </xdr:cNvSpPr>
      </xdr:nvSpPr>
      <xdr:spPr bwMode="auto">
        <a:xfrm flipV="1">
          <a:off x="79724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38100</xdr:colOff>
      <xdr:row>58</xdr:row>
      <xdr:rowOff>160020</xdr:rowOff>
    </xdr:from>
    <xdr:to>
      <xdr:col>32</xdr:col>
      <xdr:colOff>236220</xdr:colOff>
      <xdr:row>59</xdr:row>
      <xdr:rowOff>45720</xdr:rowOff>
    </xdr:to>
    <xdr:sp macro="" textlink="">
      <xdr:nvSpPr>
        <xdr:cNvPr id="52" name="Line 61">
          <a:extLst>
            <a:ext uri="{FF2B5EF4-FFF2-40B4-BE49-F238E27FC236}">
              <a16:creationId xmlns:a16="http://schemas.microsoft.com/office/drawing/2014/main" id="{33938F62-2D98-4A12-8E60-D16EC9C39A3E}"/>
            </a:ext>
          </a:extLst>
        </xdr:cNvPr>
        <xdr:cNvSpPr>
          <a:spLocks noChangeShapeType="1"/>
        </xdr:cNvSpPr>
      </xdr:nvSpPr>
      <xdr:spPr bwMode="auto">
        <a:xfrm flipV="1">
          <a:off x="82105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38100</xdr:colOff>
      <xdr:row>58</xdr:row>
      <xdr:rowOff>160020</xdr:rowOff>
    </xdr:from>
    <xdr:to>
      <xdr:col>33</xdr:col>
      <xdr:colOff>236220</xdr:colOff>
      <xdr:row>59</xdr:row>
      <xdr:rowOff>45720</xdr:rowOff>
    </xdr:to>
    <xdr:sp macro="" textlink="">
      <xdr:nvSpPr>
        <xdr:cNvPr id="53" name="Line 62">
          <a:extLst>
            <a:ext uri="{FF2B5EF4-FFF2-40B4-BE49-F238E27FC236}">
              <a16:creationId xmlns:a16="http://schemas.microsoft.com/office/drawing/2014/main" id="{64248CA3-F780-496B-8B9B-958B43D2DD8B}"/>
            </a:ext>
          </a:extLst>
        </xdr:cNvPr>
        <xdr:cNvSpPr>
          <a:spLocks noChangeShapeType="1"/>
        </xdr:cNvSpPr>
      </xdr:nvSpPr>
      <xdr:spPr bwMode="auto">
        <a:xfrm flipV="1">
          <a:off x="844867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38100</xdr:colOff>
      <xdr:row>58</xdr:row>
      <xdr:rowOff>160020</xdr:rowOff>
    </xdr:from>
    <xdr:to>
      <xdr:col>34</xdr:col>
      <xdr:colOff>236220</xdr:colOff>
      <xdr:row>59</xdr:row>
      <xdr:rowOff>45720</xdr:rowOff>
    </xdr:to>
    <xdr:sp macro="" textlink="">
      <xdr:nvSpPr>
        <xdr:cNvPr id="54" name="Line 63">
          <a:extLst>
            <a:ext uri="{FF2B5EF4-FFF2-40B4-BE49-F238E27FC236}">
              <a16:creationId xmlns:a16="http://schemas.microsoft.com/office/drawing/2014/main" id="{447361F0-2490-4130-B490-BA496AE0CF86}"/>
            </a:ext>
          </a:extLst>
        </xdr:cNvPr>
        <xdr:cNvSpPr>
          <a:spLocks noChangeShapeType="1"/>
        </xdr:cNvSpPr>
      </xdr:nvSpPr>
      <xdr:spPr bwMode="auto">
        <a:xfrm flipV="1">
          <a:off x="868680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38100</xdr:colOff>
      <xdr:row>58</xdr:row>
      <xdr:rowOff>160020</xdr:rowOff>
    </xdr:from>
    <xdr:to>
      <xdr:col>35</xdr:col>
      <xdr:colOff>236220</xdr:colOff>
      <xdr:row>59</xdr:row>
      <xdr:rowOff>45720</xdr:rowOff>
    </xdr:to>
    <xdr:sp macro="" textlink="">
      <xdr:nvSpPr>
        <xdr:cNvPr id="55" name="Line 64">
          <a:extLst>
            <a:ext uri="{FF2B5EF4-FFF2-40B4-BE49-F238E27FC236}">
              <a16:creationId xmlns:a16="http://schemas.microsoft.com/office/drawing/2014/main" id="{EFF69FED-92FE-41AC-A50E-5A46B2BFA42F}"/>
            </a:ext>
          </a:extLst>
        </xdr:cNvPr>
        <xdr:cNvSpPr>
          <a:spLocks noChangeShapeType="1"/>
        </xdr:cNvSpPr>
      </xdr:nvSpPr>
      <xdr:spPr bwMode="auto">
        <a:xfrm flipV="1">
          <a:off x="8924925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38100</xdr:colOff>
      <xdr:row>58</xdr:row>
      <xdr:rowOff>160020</xdr:rowOff>
    </xdr:from>
    <xdr:to>
      <xdr:col>36</xdr:col>
      <xdr:colOff>236220</xdr:colOff>
      <xdr:row>59</xdr:row>
      <xdr:rowOff>45720</xdr:rowOff>
    </xdr:to>
    <xdr:sp macro="" textlink="">
      <xdr:nvSpPr>
        <xdr:cNvPr id="56" name="Line 65">
          <a:extLst>
            <a:ext uri="{FF2B5EF4-FFF2-40B4-BE49-F238E27FC236}">
              <a16:creationId xmlns:a16="http://schemas.microsoft.com/office/drawing/2014/main" id="{39C02FF3-6871-436B-AADE-B85AC1893694}"/>
            </a:ext>
          </a:extLst>
        </xdr:cNvPr>
        <xdr:cNvSpPr>
          <a:spLocks noChangeShapeType="1"/>
        </xdr:cNvSpPr>
      </xdr:nvSpPr>
      <xdr:spPr bwMode="auto">
        <a:xfrm flipV="1">
          <a:off x="9163050" y="15133320"/>
          <a:ext cx="19812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68</xdr:row>
          <xdr:rowOff>114300</xdr:rowOff>
        </xdr:from>
        <xdr:to>
          <xdr:col>5</xdr:col>
          <xdr:colOff>142875</xdr:colOff>
          <xdr:row>70</xdr:row>
          <xdr:rowOff>114300</xdr:rowOff>
        </xdr:to>
        <xdr:sp macro="" textlink="">
          <xdr:nvSpPr>
            <xdr:cNvPr id="373761" name="Button 1" hidden="1">
              <a:extLst>
                <a:ext uri="{63B3BB69-23CF-44E3-9099-C40C66FF867C}">
                  <a14:compatExt spid="_x0000_s373761"/>
                </a:ext>
                <a:ext uri="{FF2B5EF4-FFF2-40B4-BE49-F238E27FC236}">
                  <a16:creationId xmlns:a16="http://schemas.microsoft.com/office/drawing/2014/main" id="{AAA99B40-DEDF-432D-ABC6-00BCBA07D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製図確認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762000</xdr:rowOff>
        </xdr:from>
        <xdr:to>
          <xdr:col>13</xdr:col>
          <xdr:colOff>476250</xdr:colOff>
          <xdr:row>1</xdr:row>
          <xdr:rowOff>1066800</xdr:rowOff>
        </xdr:to>
        <xdr:sp macro="" textlink="">
          <xdr:nvSpPr>
            <xdr:cNvPr id="373762" name="Button 2" hidden="1">
              <a:extLst>
                <a:ext uri="{63B3BB69-23CF-44E3-9099-C40C66FF867C}">
                  <a14:compatExt spid="_x0000_s373762"/>
                </a:ext>
                <a:ext uri="{FF2B5EF4-FFF2-40B4-BE49-F238E27FC236}">
                  <a16:creationId xmlns:a16="http://schemas.microsoft.com/office/drawing/2014/main" id="{E7481C64-0836-4C2D-A9E2-8C91A1962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○書き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419100</xdr:rowOff>
        </xdr:from>
        <xdr:to>
          <xdr:col>13</xdr:col>
          <xdr:colOff>476250</xdr:colOff>
          <xdr:row>1</xdr:row>
          <xdr:rowOff>723900</xdr:rowOff>
        </xdr:to>
        <xdr:sp macro="" textlink="">
          <xdr:nvSpPr>
            <xdr:cNvPr id="373763" name="Button 3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64FAB062-1B45-4C16-B870-F5BD85809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○消し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1000125</xdr:rowOff>
        </xdr:from>
        <xdr:to>
          <xdr:col>4</xdr:col>
          <xdr:colOff>133350</xdr:colOff>
          <xdr:row>1</xdr:row>
          <xdr:rowOff>1352550</xdr:rowOff>
        </xdr:to>
        <xdr:sp macro="" textlink="">
          <xdr:nvSpPr>
            <xdr:cNvPr id="373764" name="Button 4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AE965916-419B-47EA-8F06-FFC392AFC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標準明朝"/>
                  <a:ea typeface="標準明朝"/>
                </a:rPr>
                <a:t>範囲罫線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</xdr:row>
          <xdr:rowOff>1257300</xdr:rowOff>
        </xdr:from>
        <xdr:to>
          <xdr:col>12</xdr:col>
          <xdr:colOff>38100</xdr:colOff>
          <xdr:row>1</xdr:row>
          <xdr:rowOff>1524000</xdr:rowOff>
        </xdr:to>
        <xdr:sp macro="" textlink="">
          <xdr:nvSpPr>
            <xdr:cNvPr id="373765" name="Button 5" hidden="1">
              <a:extLst>
                <a:ext uri="{63B3BB69-23CF-44E3-9099-C40C66FF867C}">
                  <a14:compatExt spid="_x0000_s373765"/>
                </a:ext>
                <a:ext uri="{FF2B5EF4-FFF2-40B4-BE49-F238E27FC236}">
                  <a16:creationId xmlns:a16="http://schemas.microsoft.com/office/drawing/2014/main" id="{D03DDB7E-7295-4945-BDD5-C6F42FDE03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</xdr:row>
          <xdr:rowOff>1257300</xdr:rowOff>
        </xdr:from>
        <xdr:to>
          <xdr:col>13</xdr:col>
          <xdr:colOff>142875</xdr:colOff>
          <xdr:row>1</xdr:row>
          <xdr:rowOff>1524000</xdr:rowOff>
        </xdr:to>
        <xdr:sp macro="" textlink="">
          <xdr:nvSpPr>
            <xdr:cNvPr id="373766" name="Button 6" hidden="1">
              <a:extLst>
                <a:ext uri="{63B3BB69-23CF-44E3-9099-C40C66FF867C}">
                  <a14:compatExt spid="_x0000_s373766"/>
                </a:ext>
                <a:ext uri="{FF2B5EF4-FFF2-40B4-BE49-F238E27FC236}">
                  <a16:creationId xmlns:a16="http://schemas.microsoft.com/office/drawing/2014/main" id="{BBD9B2C5-6CFE-4F69-9211-0D92EC64B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</xdr:row>
          <xdr:rowOff>1257300</xdr:rowOff>
        </xdr:from>
        <xdr:to>
          <xdr:col>13</xdr:col>
          <xdr:colOff>485775</xdr:colOff>
          <xdr:row>1</xdr:row>
          <xdr:rowOff>1524000</xdr:rowOff>
        </xdr:to>
        <xdr:sp macro="" textlink="">
          <xdr:nvSpPr>
            <xdr:cNvPr id="373767" name="Button 7" hidden="1">
              <a:extLst>
                <a:ext uri="{63B3BB69-23CF-44E3-9099-C40C66FF867C}">
                  <a14:compatExt spid="_x0000_s373767"/>
                </a:ext>
                <a:ext uri="{FF2B5EF4-FFF2-40B4-BE49-F238E27FC236}">
                  <a16:creationId xmlns:a16="http://schemas.microsoft.com/office/drawing/2014/main" id="{6EB2E905-22DF-44D5-B0B1-9A7490895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1257300</xdr:rowOff>
        </xdr:from>
        <xdr:to>
          <xdr:col>10</xdr:col>
          <xdr:colOff>200025</xdr:colOff>
          <xdr:row>1</xdr:row>
          <xdr:rowOff>1524000</xdr:rowOff>
        </xdr:to>
        <xdr:sp macro="" textlink="">
          <xdr:nvSpPr>
            <xdr:cNvPr id="373768" name="Button 8" hidden="1">
              <a:extLst>
                <a:ext uri="{63B3BB69-23CF-44E3-9099-C40C66FF867C}">
                  <a14:compatExt spid="_x0000_s373768"/>
                </a:ext>
                <a:ext uri="{FF2B5EF4-FFF2-40B4-BE49-F238E27FC236}">
                  <a16:creationId xmlns:a16="http://schemas.microsoft.com/office/drawing/2014/main" id="{0B9A964D-F8F1-4616-B44A-FADA1A388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Ｎ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47625</xdr:colOff>
      <xdr:row>18</xdr:row>
      <xdr:rowOff>142875</xdr:rowOff>
    </xdr:from>
    <xdr:to>
      <xdr:col>58</xdr:col>
      <xdr:colOff>28575</xdr:colOff>
      <xdr:row>21</xdr:row>
      <xdr:rowOff>161925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378CB560-1FEA-4543-9B8E-D9AD2AD92232}"/>
            </a:ext>
          </a:extLst>
        </xdr:cNvPr>
        <xdr:cNvSpPr/>
      </xdr:nvSpPr>
      <xdr:spPr bwMode="auto">
        <a:xfrm>
          <a:off x="9648825" y="5219700"/>
          <a:ext cx="4743450" cy="5905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l"/>
          <a:r>
            <a:rPr kumimoji="1" lang="en-US" altLang="ja-JP" sz="1100"/>
            <a:t>CCL</a:t>
          </a:r>
          <a:r>
            <a:rPr kumimoji="1" lang="ja-JP" altLang="en-US" sz="1100"/>
            <a:t>作成者の想定では以下の様な挙動</a:t>
          </a:r>
          <a:endParaRPr kumimoji="1" lang="en-US" altLang="ja-JP" sz="1100"/>
        </a:p>
        <a:p>
          <a:pPr algn="l"/>
          <a:r>
            <a:rPr kumimoji="1" lang="ja-JP" altLang="en-US" sz="1100"/>
            <a:t>一致：</a:t>
          </a:r>
          <a:r>
            <a:rPr kumimoji="1" lang="en-US" altLang="ja-JP" sz="1100"/>
            <a:t>RMS</a:t>
          </a:r>
          <a:r>
            <a:rPr kumimoji="1" lang="ja-JP" altLang="en-US" sz="1100"/>
            <a:t>側でキャンセル申請を行わなずに、チェック実施</a:t>
          </a:r>
          <a:endParaRPr kumimoji="1" lang="en-US" altLang="ja-JP" sz="1100"/>
        </a:p>
        <a:p>
          <a:pPr algn="l"/>
          <a:r>
            <a:rPr kumimoji="1" lang="ja-JP" altLang="en-US" sz="1100"/>
            <a:t>不一致：</a:t>
          </a:r>
          <a:r>
            <a:rPr kumimoji="1" lang="en-US" altLang="ja-JP" sz="1100"/>
            <a:t>RMS</a:t>
          </a:r>
          <a:r>
            <a:rPr kumimoji="1" lang="ja-JP" altLang="en-US" sz="1100"/>
            <a:t>側で誤ってキャンセル申請を行って、チェック実施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5" Type="http://schemas.openxmlformats.org/officeDocument/2006/relationships/ctrlProp" Target="../ctrlProps/ctrlProp60.xml"/><Relationship Id="rId10" Type="http://schemas.openxmlformats.org/officeDocument/2006/relationships/ctrlProp" Target="../ctrlProps/ctrlProp65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316DD-96CF-40E7-8250-9FD055A3A743}">
  <sheetPr codeName="Sheet1"/>
  <dimension ref="B6:G18"/>
  <sheetViews>
    <sheetView zoomScaleNormal="100" workbookViewId="0"/>
  </sheetViews>
  <sheetFormatPr defaultRowHeight="12"/>
  <sheetData>
    <row r="6" spans="2:7" ht="22.7" customHeight="1">
      <c r="B6" s="49" t="s">
        <v>0</v>
      </c>
    </row>
    <row r="13" spans="2:7" ht="18.95" customHeight="1">
      <c r="B13" s="49" t="s">
        <v>1</v>
      </c>
    </row>
    <row r="16" spans="2:7" ht="18.75">
      <c r="B16" s="47" t="s">
        <v>2</v>
      </c>
      <c r="C16" s="51">
        <v>0</v>
      </c>
      <c r="D16" s="47" t="s">
        <v>3</v>
      </c>
      <c r="E16" s="51">
        <v>0</v>
      </c>
      <c r="F16" s="47" t="s">
        <v>4</v>
      </c>
      <c r="G16" s="51">
        <v>0</v>
      </c>
    </row>
    <row r="17" spans="2:7" ht="18.75">
      <c r="B17" s="47" t="s">
        <v>5</v>
      </c>
      <c r="C17" s="51">
        <v>0</v>
      </c>
      <c r="D17" s="47" t="s">
        <v>2</v>
      </c>
      <c r="E17" s="51">
        <v>0</v>
      </c>
      <c r="F17" s="47" t="s">
        <v>3</v>
      </c>
      <c r="G17" s="51">
        <v>0</v>
      </c>
    </row>
    <row r="18" spans="2:7" ht="18.75">
      <c r="B18" s="48" t="s">
        <v>6</v>
      </c>
      <c r="C18" s="14"/>
      <c r="D18" s="46"/>
      <c r="E18" s="50">
        <f>SUM(B16:G16)</f>
        <v>0</v>
      </c>
      <c r="F18" s="14"/>
      <c r="G18" s="22"/>
    </row>
  </sheetData>
  <phoneticPr fontId="15"/>
  <printOptions gridLinesSet="0"/>
  <pageMargins left="0.78700000000000003" right="0.78700000000000003" top="0.98399999999999999" bottom="0.98399999999999999" header="0.5" footer="0.5"/>
  <pageSetup paperSize="9" orientation="portrait" horizontalDpi="300" verticalDpi="300" r:id="rId1"/>
  <headerFooter alignWithMargins="0">
    <oddHeader>&amp;A</oddHeader>
    <oddFooter>- &amp;P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Line="0" autoPict="0" macro="[0]!チェックID作成">
                <anchor moveWithCells="1" sizeWithCells="1">
                  <from>
                    <xdr:col>4</xdr:col>
                    <xdr:colOff>314325</xdr:colOff>
                    <xdr:row>4</xdr:row>
                    <xdr:rowOff>57150</xdr:rowOff>
                  </from>
                  <to>
                    <xdr:col>6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Line="0" autoPict="0" macro="[0]!値_合計">
                <anchor moveWithCells="1" sizeWithCells="1">
                  <from>
                    <xdr:col>4</xdr:col>
                    <xdr:colOff>323850</xdr:colOff>
                    <xdr:row>11</xdr:row>
                    <xdr:rowOff>47625</xdr:rowOff>
                  </from>
                  <to>
                    <xdr:col>6</xdr:col>
                    <xdr:colOff>285750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F74AB-4E7A-4083-88A4-D8100D20AC5F}">
  <sheetPr codeName="Sheet47">
    <pageSetUpPr fitToPage="1"/>
  </sheetPr>
  <dimension ref="A1:AO68"/>
  <sheetViews>
    <sheetView showGridLines="0" tabSelected="1" showOutlineSymbols="0" defaultGridColor="0" colorId="8" zoomScaleNormal="100" workbookViewId="0">
      <pane xSplit="14" ySplit="2" topLeftCell="O3" activePane="bottomRight" state="frozen"/>
      <selection activeCell="I22" sqref="I22"/>
      <selection pane="topRight" activeCell="I22" sqref="I22"/>
      <selection pane="bottomLeft" activeCell="I22" sqref="I22"/>
      <selection pane="bottomRight"/>
    </sheetView>
  </sheetViews>
  <sheetFormatPr defaultColWidth="9.140625" defaultRowHeight="15" customHeight="1"/>
  <cols>
    <col min="1" max="13" width="3.5703125" style="5" customWidth="1"/>
    <col min="14" max="14" width="11.85546875" style="31" customWidth="1"/>
    <col min="15" max="238" width="3.5703125" style="5" customWidth="1"/>
    <col min="239" max="16384" width="9.140625" style="5"/>
  </cols>
  <sheetData>
    <row r="1" spans="1:41" ht="24.95" customHeight="1">
      <c r="A1" s="66" t="s">
        <v>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74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6"/>
    </row>
    <row r="2" spans="1:41" s="9" customFormat="1" ht="135" customHeight="1">
      <c r="A2" s="6"/>
      <c r="N2" s="58"/>
      <c r="O2" s="111" t="s">
        <v>168</v>
      </c>
      <c r="P2" s="111" t="s">
        <v>169</v>
      </c>
      <c r="Q2" s="111" t="s">
        <v>170</v>
      </c>
      <c r="R2" s="117" t="s">
        <v>171</v>
      </c>
      <c r="S2" s="117" t="s">
        <v>172</v>
      </c>
      <c r="T2" s="117" t="s">
        <v>173</v>
      </c>
      <c r="U2" s="117" t="s">
        <v>174</v>
      </c>
      <c r="V2" s="121" t="s">
        <v>175</v>
      </c>
      <c r="W2" s="121" t="s">
        <v>176</v>
      </c>
      <c r="X2" s="121" t="s">
        <v>177</v>
      </c>
      <c r="Y2" s="121" t="s">
        <v>178</v>
      </c>
      <c r="Z2" s="127" t="s">
        <v>179</v>
      </c>
      <c r="AA2" s="127" t="s">
        <v>180</v>
      </c>
      <c r="AB2" s="127" t="s">
        <v>181</v>
      </c>
      <c r="AC2" s="127" t="s">
        <v>182</v>
      </c>
      <c r="AD2" s="131" t="s">
        <v>183</v>
      </c>
      <c r="AE2" s="132" t="s">
        <v>184</v>
      </c>
      <c r="AF2" s="132" t="s">
        <v>185</v>
      </c>
      <c r="AG2" s="132" t="s">
        <v>186</v>
      </c>
      <c r="AH2" s="64"/>
      <c r="AI2" s="64"/>
      <c r="AJ2" s="64"/>
      <c r="AK2" s="65"/>
      <c r="AL2" s="7"/>
      <c r="AM2" s="8"/>
      <c r="AN2" s="7"/>
    </row>
    <row r="3" spans="1:41" ht="15" customHeight="1">
      <c r="A3" s="55"/>
      <c r="B3" s="80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8"/>
      <c r="O3" s="112"/>
      <c r="P3" s="112"/>
      <c r="Q3" s="112"/>
      <c r="R3" s="118"/>
      <c r="S3" s="119"/>
      <c r="T3" s="119"/>
      <c r="U3" s="119"/>
      <c r="V3" s="122"/>
      <c r="W3" s="122"/>
      <c r="X3" s="122"/>
      <c r="Y3" s="122"/>
      <c r="Z3" s="128"/>
      <c r="AA3" s="128"/>
      <c r="AB3" s="128"/>
      <c r="AC3" s="128"/>
      <c r="AD3" s="133"/>
      <c r="AE3" s="133"/>
      <c r="AF3" s="133"/>
      <c r="AG3" s="133"/>
      <c r="AH3" s="52"/>
      <c r="AI3" s="52"/>
      <c r="AJ3" s="52"/>
      <c r="AK3" s="53"/>
    </row>
    <row r="4" spans="1:41" ht="15" customHeight="1">
      <c r="A4" s="56"/>
      <c r="B4" s="96" t="s">
        <v>63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8"/>
      <c r="O4" s="112"/>
      <c r="P4" s="112"/>
      <c r="Q4" s="112"/>
      <c r="R4" s="119"/>
      <c r="S4" s="119"/>
      <c r="T4" s="119"/>
      <c r="U4" s="119"/>
      <c r="V4" s="123"/>
      <c r="W4" s="123"/>
      <c r="X4" s="123"/>
      <c r="Y4" s="122"/>
      <c r="Z4" s="129"/>
      <c r="AA4" s="129"/>
      <c r="AB4" s="129"/>
      <c r="AC4" s="129"/>
      <c r="AD4" s="133"/>
      <c r="AE4" s="134"/>
      <c r="AF4" s="134"/>
      <c r="AG4" s="134"/>
      <c r="AH4" s="52"/>
      <c r="AI4" s="52"/>
      <c r="AJ4" s="52"/>
      <c r="AK4" s="53"/>
      <c r="AM4" s="115"/>
      <c r="AN4" s="115"/>
      <c r="AO4" s="116" t="s">
        <v>89</v>
      </c>
    </row>
    <row r="5" spans="1:41" ht="15" customHeight="1">
      <c r="A5" s="91"/>
      <c r="B5" s="13"/>
      <c r="C5" s="92" t="s">
        <v>50</v>
      </c>
      <c r="D5" s="93"/>
      <c r="E5" s="93"/>
      <c r="F5" s="93"/>
      <c r="G5" s="93"/>
      <c r="H5" s="93"/>
      <c r="I5" s="93"/>
      <c r="J5" s="93"/>
      <c r="K5" s="93"/>
      <c r="L5" s="93"/>
      <c r="M5" s="93"/>
      <c r="N5" s="94"/>
      <c r="O5" s="112" t="s">
        <v>70</v>
      </c>
      <c r="P5" s="112" t="s">
        <v>70</v>
      </c>
      <c r="Q5" s="112" t="s">
        <v>70</v>
      </c>
      <c r="R5" s="119" t="s">
        <v>70</v>
      </c>
      <c r="S5" s="119" t="s">
        <v>70</v>
      </c>
      <c r="T5" s="119" t="s">
        <v>70</v>
      </c>
      <c r="U5" s="119" t="s">
        <v>70</v>
      </c>
      <c r="V5" s="123" t="s">
        <v>70</v>
      </c>
      <c r="W5" s="123" t="s">
        <v>70</v>
      </c>
      <c r="X5" s="123" t="s">
        <v>70</v>
      </c>
      <c r="Y5" s="123" t="s">
        <v>70</v>
      </c>
      <c r="Z5" s="129" t="s">
        <v>70</v>
      </c>
      <c r="AA5" s="129" t="s">
        <v>83</v>
      </c>
      <c r="AB5" s="129" t="s">
        <v>83</v>
      </c>
      <c r="AC5" s="129" t="s">
        <v>83</v>
      </c>
      <c r="AD5" s="134" t="s">
        <v>83</v>
      </c>
      <c r="AE5" s="134" t="s">
        <v>83</v>
      </c>
      <c r="AF5" s="134" t="s">
        <v>83</v>
      </c>
      <c r="AG5" s="134" t="s">
        <v>83</v>
      </c>
      <c r="AH5" s="57"/>
      <c r="AI5" s="57"/>
      <c r="AJ5" s="57"/>
      <c r="AK5" s="53"/>
      <c r="AM5" s="120"/>
      <c r="AN5" s="120"/>
      <c r="AO5" s="116" t="s">
        <v>98</v>
      </c>
    </row>
    <row r="6" spans="1:41" ht="15" customHeight="1">
      <c r="A6" s="56" t="s">
        <v>49</v>
      </c>
      <c r="B6" s="80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8"/>
      <c r="O6" s="112"/>
      <c r="P6" s="112"/>
      <c r="Q6" s="113"/>
      <c r="R6" s="119"/>
      <c r="S6" s="119"/>
      <c r="T6" s="119"/>
      <c r="U6" s="118"/>
      <c r="V6" s="123"/>
      <c r="W6" s="122"/>
      <c r="X6" s="122"/>
      <c r="Y6" s="122"/>
      <c r="Z6" s="128"/>
      <c r="AA6" s="129"/>
      <c r="AB6" s="129"/>
      <c r="AC6" s="128"/>
      <c r="AD6" s="134"/>
      <c r="AE6" s="134"/>
      <c r="AF6" s="133"/>
      <c r="AG6" s="133"/>
      <c r="AH6" s="52"/>
      <c r="AI6" s="52"/>
      <c r="AJ6" s="52"/>
      <c r="AK6" s="53"/>
      <c r="AO6" s="116" t="s">
        <v>96</v>
      </c>
    </row>
    <row r="7" spans="1:41" ht="15" customHeight="1">
      <c r="A7" s="56" t="s">
        <v>8</v>
      </c>
      <c r="B7" s="96" t="s">
        <v>59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8"/>
      <c r="O7" s="112"/>
      <c r="P7" s="112"/>
      <c r="Q7" s="113"/>
      <c r="R7" s="119"/>
      <c r="S7" s="119"/>
      <c r="T7" s="119"/>
      <c r="U7" s="118"/>
      <c r="V7" s="123"/>
      <c r="W7" s="122"/>
      <c r="X7" s="122"/>
      <c r="Y7" s="123"/>
      <c r="Z7" s="129"/>
      <c r="AA7" s="129"/>
      <c r="AB7" s="129"/>
      <c r="AC7" s="128"/>
      <c r="AD7" s="134"/>
      <c r="AE7" s="134"/>
      <c r="AF7" s="134"/>
      <c r="AG7" s="133"/>
      <c r="AH7" s="57"/>
      <c r="AI7" s="52"/>
      <c r="AJ7" s="52"/>
      <c r="AK7" s="53"/>
      <c r="AM7" s="124"/>
      <c r="AN7" s="124"/>
      <c r="AO7" s="116" t="s">
        <v>98</v>
      </c>
    </row>
    <row r="8" spans="1:41" ht="15" customHeight="1">
      <c r="A8" s="56" t="s">
        <v>42</v>
      </c>
      <c r="B8" s="80"/>
      <c r="C8" s="92" t="s">
        <v>76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4"/>
      <c r="O8" s="112" t="s">
        <v>70</v>
      </c>
      <c r="P8" s="112"/>
      <c r="Q8" s="112"/>
      <c r="R8" s="119" t="s">
        <v>70</v>
      </c>
      <c r="S8" s="119" t="s">
        <v>70</v>
      </c>
      <c r="T8" s="119" t="s">
        <v>70</v>
      </c>
      <c r="U8" s="119" t="s">
        <v>70</v>
      </c>
      <c r="V8" s="123" t="s">
        <v>70</v>
      </c>
      <c r="W8" s="123" t="s">
        <v>70</v>
      </c>
      <c r="X8" s="123" t="s">
        <v>70</v>
      </c>
      <c r="Y8" s="123" t="s">
        <v>70</v>
      </c>
      <c r="Z8" s="129" t="s">
        <v>83</v>
      </c>
      <c r="AA8" s="129" t="s">
        <v>83</v>
      </c>
      <c r="AB8" s="129" t="s">
        <v>83</v>
      </c>
      <c r="AC8" s="129" t="s">
        <v>83</v>
      </c>
      <c r="AD8" s="134" t="s">
        <v>83</v>
      </c>
      <c r="AE8" s="134" t="s">
        <v>83</v>
      </c>
      <c r="AF8" s="134" t="s">
        <v>83</v>
      </c>
      <c r="AG8" s="134" t="s">
        <v>83</v>
      </c>
      <c r="AH8" s="57"/>
      <c r="AI8" s="57"/>
      <c r="AJ8" s="57"/>
      <c r="AK8" s="53"/>
      <c r="AO8" s="116" t="s">
        <v>97</v>
      </c>
    </row>
    <row r="9" spans="1:41" ht="15" customHeight="1">
      <c r="A9" s="56" t="s">
        <v>9</v>
      </c>
      <c r="B9" s="80"/>
      <c r="C9" s="96" t="s">
        <v>60</v>
      </c>
      <c r="D9" s="97"/>
      <c r="E9" s="97"/>
      <c r="F9" s="97"/>
      <c r="G9" s="97"/>
      <c r="H9" s="97"/>
      <c r="I9" s="97"/>
      <c r="J9" s="97"/>
      <c r="K9" s="97"/>
      <c r="L9" s="97"/>
      <c r="M9" s="97"/>
      <c r="N9" s="98"/>
      <c r="O9" s="112"/>
      <c r="P9" s="112"/>
      <c r="Q9" s="113"/>
      <c r="R9" s="119"/>
      <c r="S9" s="119"/>
      <c r="T9" s="119"/>
      <c r="U9" s="118"/>
      <c r="V9" s="123"/>
      <c r="W9" s="122"/>
      <c r="X9" s="122"/>
      <c r="Y9" s="122"/>
      <c r="Z9" s="129"/>
      <c r="AA9" s="129"/>
      <c r="AB9" s="129"/>
      <c r="AC9" s="128"/>
      <c r="AD9" s="133"/>
      <c r="AE9" s="134"/>
      <c r="AF9" s="134"/>
      <c r="AG9" s="133"/>
      <c r="AH9" s="52"/>
      <c r="AI9" s="52"/>
      <c r="AJ9" s="52"/>
      <c r="AK9" s="53"/>
      <c r="AM9" s="130"/>
      <c r="AN9" s="130"/>
      <c r="AO9" s="116" t="s">
        <v>99</v>
      </c>
    </row>
    <row r="10" spans="1:41" ht="15" customHeight="1">
      <c r="A10" s="56" t="s">
        <v>10</v>
      </c>
      <c r="B10" s="80"/>
      <c r="C10" s="80"/>
      <c r="D10" s="92" t="s">
        <v>61</v>
      </c>
      <c r="E10" s="93"/>
      <c r="F10" s="93"/>
      <c r="G10" s="93"/>
      <c r="H10" s="93"/>
      <c r="I10" s="93"/>
      <c r="J10" s="93"/>
      <c r="K10" s="93"/>
      <c r="L10" s="93"/>
      <c r="M10" s="93"/>
      <c r="N10" s="94"/>
      <c r="O10" s="112"/>
      <c r="P10" s="112" t="s">
        <v>70</v>
      </c>
      <c r="Q10" s="113"/>
      <c r="R10" s="119"/>
      <c r="S10" s="119"/>
      <c r="T10" s="119"/>
      <c r="U10" s="118"/>
      <c r="V10" s="123"/>
      <c r="W10" s="123"/>
      <c r="X10" s="123"/>
      <c r="Y10" s="123"/>
      <c r="Z10" s="129"/>
      <c r="AA10" s="129"/>
      <c r="AB10" s="129"/>
      <c r="AC10" s="128"/>
      <c r="AD10" s="133"/>
      <c r="AE10" s="134"/>
      <c r="AF10" s="134"/>
      <c r="AG10" s="133"/>
      <c r="AH10" s="52"/>
      <c r="AI10" s="52"/>
      <c r="AJ10" s="52"/>
      <c r="AK10" s="53"/>
      <c r="AM10" s="135"/>
      <c r="AN10" s="135"/>
      <c r="AO10" s="116" t="s">
        <v>101</v>
      </c>
    </row>
    <row r="11" spans="1:41" ht="15" customHeight="1">
      <c r="A11" s="56" t="s">
        <v>81</v>
      </c>
      <c r="B11" s="79"/>
      <c r="C11" s="79"/>
      <c r="D11" s="92" t="s">
        <v>62</v>
      </c>
      <c r="E11" s="93"/>
      <c r="F11" s="93"/>
      <c r="G11" s="93"/>
      <c r="H11" s="93"/>
      <c r="I11" s="93"/>
      <c r="J11" s="93"/>
      <c r="K11" s="93"/>
      <c r="L11" s="93"/>
      <c r="M11" s="93"/>
      <c r="N11" s="94"/>
      <c r="O11" s="112"/>
      <c r="P11" s="112"/>
      <c r="Q11" s="112" t="s">
        <v>70</v>
      </c>
      <c r="R11" s="119"/>
      <c r="S11" s="119"/>
      <c r="T11" s="119"/>
      <c r="U11" s="119"/>
      <c r="V11" s="123"/>
      <c r="W11" s="123"/>
      <c r="X11" s="123"/>
      <c r="Y11" s="122"/>
      <c r="Z11" s="129"/>
      <c r="AA11" s="129"/>
      <c r="AB11" s="129"/>
      <c r="AC11" s="128"/>
      <c r="AD11" s="133"/>
      <c r="AE11" s="134"/>
      <c r="AF11" s="134"/>
      <c r="AG11" s="133"/>
      <c r="AH11" s="52"/>
      <c r="AI11" s="52"/>
      <c r="AJ11" s="52"/>
      <c r="AK11" s="53"/>
      <c r="AM11" s="116" t="s">
        <v>102</v>
      </c>
    </row>
    <row r="12" spans="1:41" ht="15" customHeight="1">
      <c r="A12" s="56"/>
      <c r="B12" s="80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8"/>
      <c r="O12" s="112"/>
      <c r="P12" s="112"/>
      <c r="Q12" s="113"/>
      <c r="R12" s="119"/>
      <c r="S12" s="119"/>
      <c r="T12" s="119"/>
      <c r="U12" s="118"/>
      <c r="V12" s="123"/>
      <c r="W12" s="122"/>
      <c r="X12" s="122"/>
      <c r="Y12" s="123"/>
      <c r="Z12" s="129"/>
      <c r="AA12" s="129"/>
      <c r="AB12" s="129"/>
      <c r="AC12" s="128"/>
      <c r="AD12" s="134"/>
      <c r="AE12" s="134"/>
      <c r="AF12" s="134"/>
      <c r="AG12" s="133"/>
      <c r="AH12" s="57"/>
      <c r="AI12" s="52"/>
      <c r="AJ12" s="52"/>
      <c r="AK12" s="53"/>
    </row>
    <row r="13" spans="1:41" ht="15" customHeight="1">
      <c r="B13" s="108" t="s">
        <v>84</v>
      </c>
      <c r="C13" s="100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4"/>
      <c r="O13" s="112"/>
      <c r="P13" s="112"/>
      <c r="Q13" s="113"/>
      <c r="R13" s="119"/>
      <c r="S13" s="119"/>
      <c r="T13" s="119"/>
      <c r="U13" s="118"/>
      <c r="V13" s="123"/>
      <c r="W13" s="122"/>
      <c r="X13" s="122"/>
      <c r="Y13" s="123"/>
      <c r="Z13" s="128"/>
      <c r="AA13" s="129"/>
      <c r="AB13" s="129"/>
      <c r="AC13" s="129"/>
      <c r="AD13" s="133"/>
      <c r="AE13" s="133"/>
      <c r="AF13" s="133"/>
      <c r="AG13" s="133"/>
      <c r="AH13" s="52"/>
      <c r="AI13" s="52"/>
      <c r="AJ13" s="52"/>
      <c r="AK13" s="53"/>
    </row>
    <row r="14" spans="1:41" ht="15" customHeight="1">
      <c r="B14" s="59"/>
      <c r="C14" s="96" t="s">
        <v>53</v>
      </c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4"/>
      <c r="O14" s="112"/>
      <c r="P14" s="112"/>
      <c r="Q14" s="112"/>
      <c r="R14" s="119"/>
      <c r="S14" s="119"/>
      <c r="T14" s="119"/>
      <c r="U14" s="119"/>
      <c r="V14" s="123"/>
      <c r="W14" s="123"/>
      <c r="X14" s="123"/>
      <c r="Y14" s="123"/>
      <c r="Z14" s="129"/>
      <c r="AA14" s="129"/>
      <c r="AB14" s="129"/>
      <c r="AC14" s="128"/>
      <c r="AD14" s="133"/>
      <c r="AE14" s="134"/>
      <c r="AF14" s="134"/>
      <c r="AG14" s="133"/>
      <c r="AH14" s="52"/>
      <c r="AI14" s="52"/>
      <c r="AJ14" s="52"/>
      <c r="AK14" s="53"/>
    </row>
    <row r="15" spans="1:41" ht="15" customHeight="1">
      <c r="B15" s="59"/>
      <c r="C15" s="99"/>
      <c r="D15" s="81" t="s">
        <v>54</v>
      </c>
      <c r="E15" s="81"/>
      <c r="F15" s="81"/>
      <c r="G15" s="81"/>
      <c r="H15" s="81"/>
      <c r="I15" s="81"/>
      <c r="J15" s="81"/>
      <c r="K15" s="81"/>
      <c r="L15" s="81"/>
      <c r="M15" s="81"/>
      <c r="N15" s="82"/>
      <c r="O15" s="112" t="s">
        <v>70</v>
      </c>
      <c r="P15" s="112" t="s">
        <v>70</v>
      </c>
      <c r="Q15" s="112" t="s">
        <v>70</v>
      </c>
      <c r="R15" s="119" t="s">
        <v>70</v>
      </c>
      <c r="S15" s="119" t="s">
        <v>70</v>
      </c>
      <c r="T15" s="119" t="s">
        <v>70</v>
      </c>
      <c r="U15" s="119" t="s">
        <v>70</v>
      </c>
      <c r="V15" s="123" t="s">
        <v>70</v>
      </c>
      <c r="W15" s="123" t="s">
        <v>70</v>
      </c>
      <c r="X15" s="123" t="s">
        <v>70</v>
      </c>
      <c r="Y15" s="123" t="s">
        <v>70</v>
      </c>
      <c r="Z15" s="129"/>
      <c r="AA15" s="129"/>
      <c r="AB15" s="129"/>
      <c r="AC15" s="128"/>
      <c r="AD15" s="133"/>
      <c r="AE15" s="134"/>
      <c r="AF15" s="134"/>
      <c r="AG15" s="133"/>
      <c r="AH15" s="52"/>
      <c r="AI15" s="52"/>
      <c r="AJ15" s="52"/>
      <c r="AK15" s="53"/>
    </row>
    <row r="16" spans="1:41" ht="15" customHeight="1">
      <c r="B16" s="59"/>
      <c r="C16" s="99"/>
      <c r="D16" s="77" t="s">
        <v>79</v>
      </c>
      <c r="E16" s="77"/>
      <c r="F16" s="77"/>
      <c r="G16" s="77"/>
      <c r="H16" s="77"/>
      <c r="I16" s="77"/>
      <c r="J16" s="77"/>
      <c r="K16" s="77"/>
      <c r="L16" s="77"/>
      <c r="M16" s="77"/>
      <c r="N16" s="78"/>
      <c r="O16" s="112"/>
      <c r="P16" s="112"/>
      <c r="Q16" s="112"/>
      <c r="R16" s="119"/>
      <c r="S16" s="119"/>
      <c r="T16" s="119"/>
      <c r="U16" s="119"/>
      <c r="V16" s="123"/>
      <c r="W16" s="123"/>
      <c r="X16" s="123"/>
      <c r="Y16" s="123"/>
      <c r="Z16" s="129" t="s">
        <v>83</v>
      </c>
      <c r="AA16" s="129" t="s">
        <v>83</v>
      </c>
      <c r="AB16" s="129" t="s">
        <v>83</v>
      </c>
      <c r="AC16" s="129" t="s">
        <v>83</v>
      </c>
      <c r="AD16" s="133"/>
      <c r="AE16" s="134"/>
      <c r="AF16" s="134"/>
      <c r="AG16" s="133"/>
      <c r="AH16" s="52"/>
      <c r="AI16" s="52"/>
      <c r="AJ16" s="52"/>
      <c r="AK16" s="53"/>
    </row>
    <row r="17" spans="1:40" ht="15" customHeight="1">
      <c r="A17" s="56"/>
      <c r="B17" s="80"/>
      <c r="C17" s="99"/>
      <c r="D17" s="93" t="s">
        <v>80</v>
      </c>
      <c r="E17" s="93"/>
      <c r="F17" s="93"/>
      <c r="G17" s="93"/>
      <c r="H17" s="93"/>
      <c r="I17" s="93"/>
      <c r="J17" s="93"/>
      <c r="K17" s="93"/>
      <c r="L17" s="93"/>
      <c r="M17" s="93"/>
      <c r="N17" s="94"/>
      <c r="O17" s="112"/>
      <c r="P17" s="112"/>
      <c r="Q17" s="112"/>
      <c r="R17" s="119"/>
      <c r="S17" s="119"/>
      <c r="T17" s="119"/>
      <c r="U17" s="119"/>
      <c r="V17" s="123"/>
      <c r="W17" s="123"/>
      <c r="X17" s="122"/>
      <c r="Y17" s="123"/>
      <c r="Z17" s="128"/>
      <c r="AA17" s="129"/>
      <c r="AB17" s="128"/>
      <c r="AC17" s="129"/>
      <c r="AD17" s="134" t="s">
        <v>83</v>
      </c>
      <c r="AE17" s="134" t="s">
        <v>83</v>
      </c>
      <c r="AF17" s="134" t="s">
        <v>83</v>
      </c>
      <c r="AG17" s="134" t="s">
        <v>83</v>
      </c>
      <c r="AH17" s="57"/>
      <c r="AI17" s="52"/>
      <c r="AJ17" s="52"/>
      <c r="AK17" s="17"/>
    </row>
    <row r="18" spans="1:40" ht="15" customHeight="1">
      <c r="A18" s="56"/>
      <c r="B18" s="99"/>
      <c r="C18" s="79"/>
      <c r="D18" s="92" t="s">
        <v>100</v>
      </c>
      <c r="E18" s="93"/>
      <c r="F18" s="93"/>
      <c r="G18" s="93"/>
      <c r="H18" s="93"/>
      <c r="I18" s="93"/>
      <c r="J18" s="93"/>
      <c r="K18" s="93"/>
      <c r="L18" s="93"/>
      <c r="M18" s="93"/>
      <c r="N18" s="94"/>
      <c r="O18" s="112"/>
      <c r="P18" s="112"/>
      <c r="Q18" s="112"/>
      <c r="R18" s="119"/>
      <c r="S18" s="119"/>
      <c r="T18" s="118"/>
      <c r="U18" s="119"/>
      <c r="V18" s="123"/>
      <c r="W18" s="123"/>
      <c r="X18" s="122"/>
      <c r="Y18" s="123"/>
      <c r="Z18" s="129"/>
      <c r="AA18" s="129"/>
      <c r="AB18" s="128"/>
      <c r="AC18" s="129"/>
      <c r="AD18" s="133"/>
      <c r="AE18" s="134"/>
      <c r="AF18" s="134"/>
      <c r="AG18" s="134"/>
      <c r="AH18" s="57"/>
      <c r="AI18" s="52"/>
      <c r="AJ18" s="52"/>
      <c r="AK18" s="17"/>
    </row>
    <row r="19" spans="1:40" ht="15" customHeight="1">
      <c r="A19" s="56"/>
      <c r="B19" s="80"/>
      <c r="C19" s="96" t="s">
        <v>90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8"/>
      <c r="O19" s="112"/>
      <c r="P19" s="112"/>
      <c r="Q19" s="112"/>
      <c r="R19" s="119"/>
      <c r="S19" s="119"/>
      <c r="T19" s="118"/>
      <c r="U19" s="118"/>
      <c r="V19" s="122"/>
      <c r="W19" s="122"/>
      <c r="X19" s="122"/>
      <c r="Y19" s="122"/>
      <c r="Z19" s="128"/>
      <c r="AA19" s="128"/>
      <c r="AB19" s="128"/>
      <c r="AC19" s="129"/>
      <c r="AD19" s="133"/>
      <c r="AE19" s="134"/>
      <c r="AF19" s="134"/>
      <c r="AG19" s="134"/>
      <c r="AH19" s="57"/>
      <c r="AI19" s="52"/>
      <c r="AJ19" s="52"/>
      <c r="AK19" s="17"/>
    </row>
    <row r="20" spans="1:40" ht="15" customHeight="1">
      <c r="A20" s="56"/>
      <c r="B20" s="80"/>
      <c r="C20" s="80"/>
      <c r="D20" s="92" t="s">
        <v>91</v>
      </c>
      <c r="E20" s="93"/>
      <c r="F20" s="93"/>
      <c r="G20" s="93"/>
      <c r="H20" s="93"/>
      <c r="I20" s="93"/>
      <c r="J20" s="93"/>
      <c r="K20" s="93"/>
      <c r="L20" s="93"/>
      <c r="M20" s="93"/>
      <c r="N20" s="94"/>
      <c r="O20" s="112"/>
      <c r="P20" s="112"/>
      <c r="Q20" s="112"/>
      <c r="R20" s="119" t="s">
        <v>70</v>
      </c>
      <c r="S20" s="119" t="s">
        <v>70</v>
      </c>
      <c r="T20" s="119" t="s">
        <v>70</v>
      </c>
      <c r="U20" s="119" t="s">
        <v>70</v>
      </c>
      <c r="V20" s="122"/>
      <c r="W20" s="122"/>
      <c r="X20" s="122"/>
      <c r="Y20" s="122"/>
      <c r="Z20" s="128"/>
      <c r="AA20" s="128"/>
      <c r="AB20" s="128"/>
      <c r="AC20" s="128"/>
      <c r="AD20" s="134" t="s">
        <v>83</v>
      </c>
      <c r="AE20" s="134" t="s">
        <v>83</v>
      </c>
      <c r="AF20" s="134" t="s">
        <v>83</v>
      </c>
      <c r="AG20" s="134" t="s">
        <v>83</v>
      </c>
      <c r="AH20" s="52"/>
      <c r="AI20" s="52"/>
      <c r="AJ20" s="52"/>
      <c r="AK20" s="17"/>
    </row>
    <row r="21" spans="1:40" ht="15" customHeight="1">
      <c r="A21" s="56"/>
      <c r="B21" s="79"/>
      <c r="C21" s="79"/>
      <c r="D21" s="79" t="s">
        <v>92</v>
      </c>
      <c r="E21" s="81"/>
      <c r="F21" s="81"/>
      <c r="G21" s="81"/>
      <c r="H21" s="81"/>
      <c r="I21" s="81"/>
      <c r="J21" s="81"/>
      <c r="K21" s="81"/>
      <c r="L21" s="81"/>
      <c r="M21" s="81"/>
      <c r="N21" s="82"/>
      <c r="O21" s="112"/>
      <c r="P21" s="112"/>
      <c r="Q21" s="112"/>
      <c r="R21" s="119"/>
      <c r="S21" s="119"/>
      <c r="T21" s="119"/>
      <c r="U21" s="119"/>
      <c r="V21" s="123" t="s">
        <v>70</v>
      </c>
      <c r="W21" s="123" t="s">
        <v>70</v>
      </c>
      <c r="X21" s="123" t="s">
        <v>70</v>
      </c>
      <c r="Y21" s="123" t="s">
        <v>70</v>
      </c>
      <c r="Z21" s="129" t="s">
        <v>83</v>
      </c>
      <c r="AA21" s="129" t="s">
        <v>83</v>
      </c>
      <c r="AB21" s="129" t="s">
        <v>83</v>
      </c>
      <c r="AC21" s="129" t="s">
        <v>83</v>
      </c>
      <c r="AD21" s="133"/>
      <c r="AE21" s="133"/>
      <c r="AF21" s="133"/>
      <c r="AG21" s="133"/>
      <c r="AH21" s="52"/>
      <c r="AI21" s="52"/>
      <c r="AJ21" s="52"/>
      <c r="AK21" s="17"/>
    </row>
    <row r="22" spans="1:40" ht="15" customHeight="1">
      <c r="A22" s="56"/>
      <c r="B22" s="80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8"/>
      <c r="O22" s="112"/>
      <c r="P22" s="112"/>
      <c r="Q22" s="112"/>
      <c r="R22" s="119"/>
      <c r="S22" s="119"/>
      <c r="T22" s="119"/>
      <c r="U22" s="119"/>
      <c r="V22" s="123"/>
      <c r="W22" s="123"/>
      <c r="X22" s="123"/>
      <c r="Y22" s="123"/>
      <c r="Z22" s="129"/>
      <c r="AA22" s="129"/>
      <c r="AB22" s="129"/>
      <c r="AC22" s="129"/>
      <c r="AD22" s="133"/>
      <c r="AE22" s="133"/>
      <c r="AF22" s="133"/>
      <c r="AG22" s="133"/>
      <c r="AH22" s="52"/>
      <c r="AI22" s="52"/>
      <c r="AJ22" s="52"/>
      <c r="AK22" s="17"/>
    </row>
    <row r="23" spans="1:40" ht="15" customHeight="1">
      <c r="A23" s="56"/>
      <c r="B23" s="80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8"/>
      <c r="O23" s="112"/>
      <c r="P23" s="112"/>
      <c r="Q23" s="112"/>
      <c r="R23" s="119"/>
      <c r="S23" s="119"/>
      <c r="T23" s="118"/>
      <c r="U23" s="118"/>
      <c r="V23" s="122"/>
      <c r="W23" s="122"/>
      <c r="X23" s="122"/>
      <c r="Y23" s="122"/>
      <c r="Z23" s="128"/>
      <c r="AA23" s="128"/>
      <c r="AB23" s="128"/>
      <c r="AC23" s="129"/>
      <c r="AD23" s="133"/>
      <c r="AE23" s="134"/>
      <c r="AF23" s="134"/>
      <c r="AG23" s="134"/>
      <c r="AH23" s="57"/>
      <c r="AI23" s="52"/>
      <c r="AJ23" s="52"/>
      <c r="AK23" s="17"/>
    </row>
    <row r="24" spans="1:40" ht="15" customHeight="1">
      <c r="A24" s="56"/>
      <c r="B24" s="80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8"/>
      <c r="O24" s="112"/>
      <c r="P24" s="112"/>
      <c r="Q24" s="113"/>
      <c r="R24" s="119"/>
      <c r="S24" s="119"/>
      <c r="T24" s="119"/>
      <c r="U24" s="118"/>
      <c r="V24" s="123"/>
      <c r="W24" s="123"/>
      <c r="X24" s="123"/>
      <c r="Y24" s="122"/>
      <c r="Z24" s="129"/>
      <c r="AA24" s="129"/>
      <c r="AB24" s="129"/>
      <c r="AC24" s="129"/>
      <c r="AD24" s="133"/>
      <c r="AE24" s="134"/>
      <c r="AF24" s="134"/>
      <c r="AG24" s="134"/>
      <c r="AH24" s="52"/>
      <c r="AI24" s="52"/>
      <c r="AJ24" s="52"/>
      <c r="AK24" s="53"/>
    </row>
    <row r="25" spans="1:40" ht="15" customHeight="1">
      <c r="A25" s="56"/>
      <c r="B25" s="96" t="s">
        <v>52</v>
      </c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8"/>
      <c r="O25" s="112"/>
      <c r="P25" s="112"/>
      <c r="Q25" s="113"/>
      <c r="R25" s="119"/>
      <c r="S25" s="119"/>
      <c r="T25" s="119"/>
      <c r="U25" s="118"/>
      <c r="V25" s="123"/>
      <c r="W25" s="123"/>
      <c r="X25" s="123"/>
      <c r="Y25" s="122"/>
      <c r="Z25" s="129"/>
      <c r="AA25" s="129"/>
      <c r="AB25" s="129"/>
      <c r="AC25" s="128"/>
      <c r="AD25" s="133"/>
      <c r="AE25" s="134"/>
      <c r="AF25" s="134"/>
      <c r="AG25" s="133"/>
      <c r="AH25" s="52"/>
      <c r="AI25" s="52"/>
      <c r="AJ25" s="52"/>
      <c r="AK25" s="53"/>
    </row>
    <row r="26" spans="1:40" ht="15" customHeight="1">
      <c r="A26" s="56"/>
      <c r="B26" s="80"/>
      <c r="C26" s="96" t="s">
        <v>55</v>
      </c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8"/>
      <c r="O26" s="112"/>
      <c r="P26" s="112"/>
      <c r="Q26" s="113"/>
      <c r="R26" s="119"/>
      <c r="S26" s="119"/>
      <c r="T26" s="119"/>
      <c r="U26" s="118"/>
      <c r="V26" s="123"/>
      <c r="W26" s="123"/>
      <c r="X26" s="123"/>
      <c r="Y26" s="122"/>
      <c r="Z26" s="129"/>
      <c r="AA26" s="129"/>
      <c r="AB26" s="129"/>
      <c r="AC26" s="129"/>
      <c r="AD26" s="133"/>
      <c r="AE26" s="134"/>
      <c r="AF26" s="134"/>
      <c r="AG26" s="134"/>
      <c r="AH26" s="52"/>
      <c r="AI26" s="52"/>
      <c r="AJ26" s="52"/>
      <c r="AK26" s="53"/>
    </row>
    <row r="27" spans="1:40" ht="15" customHeight="1">
      <c r="A27" s="56"/>
      <c r="B27" s="80"/>
      <c r="C27" s="80"/>
      <c r="D27" s="92" t="s">
        <v>56</v>
      </c>
      <c r="E27" s="93"/>
      <c r="F27" s="93"/>
      <c r="G27" s="93"/>
      <c r="H27" s="93"/>
      <c r="I27" s="93"/>
      <c r="J27" s="93"/>
      <c r="K27" s="93"/>
      <c r="L27" s="93"/>
      <c r="M27" s="93"/>
      <c r="N27" s="94"/>
      <c r="O27" s="112" t="s">
        <v>70</v>
      </c>
      <c r="P27" s="112" t="s">
        <v>70</v>
      </c>
      <c r="Q27" s="112" t="s">
        <v>70</v>
      </c>
      <c r="R27" s="119"/>
      <c r="S27" s="119" t="s">
        <v>70</v>
      </c>
      <c r="T27" s="119"/>
      <c r="U27" s="119" t="s">
        <v>70</v>
      </c>
      <c r="V27" s="123"/>
      <c r="W27" s="123" t="s">
        <v>70</v>
      </c>
      <c r="X27" s="123"/>
      <c r="Y27" s="123" t="s">
        <v>70</v>
      </c>
      <c r="Z27" s="129"/>
      <c r="AA27" s="129" t="s">
        <v>70</v>
      </c>
      <c r="AB27" s="129"/>
      <c r="AC27" s="129" t="s">
        <v>70</v>
      </c>
      <c r="AD27" s="134"/>
      <c r="AE27" s="134" t="s">
        <v>70</v>
      </c>
      <c r="AF27" s="134"/>
      <c r="AG27" s="134" t="s">
        <v>70</v>
      </c>
      <c r="AH27" s="52"/>
      <c r="AI27" s="52"/>
      <c r="AJ27" s="52"/>
      <c r="AK27" s="53"/>
    </row>
    <row r="28" spans="1:40" ht="15" customHeight="1">
      <c r="A28" s="56"/>
      <c r="B28" s="80"/>
      <c r="C28" s="79"/>
      <c r="D28" s="92" t="s">
        <v>57</v>
      </c>
      <c r="E28" s="93"/>
      <c r="F28" s="93"/>
      <c r="G28" s="93"/>
      <c r="H28" s="93"/>
      <c r="I28" s="93"/>
      <c r="J28" s="93"/>
      <c r="K28" s="93"/>
      <c r="L28" s="93"/>
      <c r="M28" s="93"/>
      <c r="N28" s="94"/>
      <c r="O28" s="112"/>
      <c r="P28" s="112"/>
      <c r="Q28" s="112"/>
      <c r="R28" s="119" t="s">
        <v>70</v>
      </c>
      <c r="S28" s="119"/>
      <c r="T28" s="119" t="s">
        <v>70</v>
      </c>
      <c r="U28" s="119"/>
      <c r="V28" s="123" t="s">
        <v>70</v>
      </c>
      <c r="W28" s="123"/>
      <c r="X28" s="123" t="s">
        <v>70</v>
      </c>
      <c r="Y28" s="123"/>
      <c r="Z28" s="129" t="s">
        <v>70</v>
      </c>
      <c r="AA28" s="129"/>
      <c r="AB28" s="129" t="s">
        <v>70</v>
      </c>
      <c r="AC28" s="129"/>
      <c r="AD28" s="134" t="s">
        <v>70</v>
      </c>
      <c r="AE28" s="134"/>
      <c r="AF28" s="134" t="s">
        <v>70</v>
      </c>
      <c r="AG28" s="134"/>
      <c r="AH28" s="52"/>
      <c r="AI28" s="52"/>
      <c r="AJ28" s="52"/>
      <c r="AK28" s="53"/>
    </row>
    <row r="29" spans="1:40" ht="15" customHeight="1">
      <c r="A29" s="56"/>
      <c r="B29" s="80"/>
      <c r="C29" s="96" t="s">
        <v>58</v>
      </c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8"/>
      <c r="O29" s="112"/>
      <c r="P29" s="112"/>
      <c r="Q29" s="113"/>
      <c r="R29" s="119"/>
      <c r="S29" s="119"/>
      <c r="T29" s="119"/>
      <c r="U29" s="118"/>
      <c r="V29" s="123"/>
      <c r="W29" s="123"/>
      <c r="X29" s="123"/>
      <c r="Y29" s="122"/>
      <c r="Z29" s="129"/>
      <c r="AA29" s="129"/>
      <c r="AB29" s="129"/>
      <c r="AC29" s="128"/>
      <c r="AD29" s="134"/>
      <c r="AE29" s="134"/>
      <c r="AF29" s="134"/>
      <c r="AG29" s="133"/>
      <c r="AH29" s="52"/>
      <c r="AI29" s="52"/>
      <c r="AJ29" s="52"/>
      <c r="AK29" s="53"/>
    </row>
    <row r="30" spans="1:40" ht="15" customHeight="1">
      <c r="A30" s="56"/>
      <c r="B30" s="80"/>
      <c r="C30" s="80"/>
      <c r="D30" s="92" t="s">
        <v>56</v>
      </c>
      <c r="E30" s="93"/>
      <c r="F30" s="93"/>
      <c r="G30" s="93"/>
      <c r="H30" s="93"/>
      <c r="I30" s="93"/>
      <c r="J30" s="93"/>
      <c r="K30" s="93"/>
      <c r="L30" s="93"/>
      <c r="M30" s="93"/>
      <c r="N30" s="94"/>
      <c r="O30" s="112"/>
      <c r="P30" s="112"/>
      <c r="Q30" s="112"/>
      <c r="R30" s="119"/>
      <c r="S30" s="119"/>
      <c r="T30" s="119" t="s">
        <v>70</v>
      </c>
      <c r="U30" s="119" t="s">
        <v>70</v>
      </c>
      <c r="V30" s="123"/>
      <c r="W30" s="123"/>
      <c r="X30" s="123" t="s">
        <v>70</v>
      </c>
      <c r="Y30" s="123" t="s">
        <v>70</v>
      </c>
      <c r="Z30" s="129"/>
      <c r="AA30" s="129"/>
      <c r="AB30" s="129" t="s">
        <v>70</v>
      </c>
      <c r="AC30" s="129" t="s">
        <v>70</v>
      </c>
      <c r="AD30" s="134"/>
      <c r="AE30" s="134"/>
      <c r="AF30" s="134" t="s">
        <v>70</v>
      </c>
      <c r="AG30" s="134" t="s">
        <v>70</v>
      </c>
      <c r="AH30" s="52"/>
      <c r="AI30" s="52"/>
      <c r="AJ30" s="52"/>
      <c r="AK30" s="53"/>
    </row>
    <row r="31" spans="1:40" ht="15" customHeight="1">
      <c r="A31" s="56"/>
      <c r="B31" s="79"/>
      <c r="C31" s="79"/>
      <c r="D31" s="92" t="s">
        <v>57</v>
      </c>
      <c r="E31" s="93"/>
      <c r="F31" s="93"/>
      <c r="G31" s="93"/>
      <c r="H31" s="93"/>
      <c r="I31" s="93"/>
      <c r="J31" s="93"/>
      <c r="K31" s="93"/>
      <c r="L31" s="93"/>
      <c r="M31" s="93"/>
      <c r="N31" s="94"/>
      <c r="O31" s="112" t="s">
        <v>70</v>
      </c>
      <c r="P31" s="112" t="s">
        <v>70</v>
      </c>
      <c r="Q31" s="112" t="s">
        <v>70</v>
      </c>
      <c r="R31" s="119" t="s">
        <v>70</v>
      </c>
      <c r="S31" s="119" t="s">
        <v>70</v>
      </c>
      <c r="T31" s="119"/>
      <c r="U31" s="118"/>
      <c r="V31" s="123" t="s">
        <v>70</v>
      </c>
      <c r="W31" s="123" t="s">
        <v>70</v>
      </c>
      <c r="X31" s="123"/>
      <c r="Y31" s="122"/>
      <c r="Z31" s="129" t="s">
        <v>70</v>
      </c>
      <c r="AA31" s="129" t="s">
        <v>70</v>
      </c>
      <c r="AB31" s="129"/>
      <c r="AC31" s="128"/>
      <c r="AD31" s="134" t="s">
        <v>70</v>
      </c>
      <c r="AE31" s="134" t="s">
        <v>70</v>
      </c>
      <c r="AF31" s="134"/>
      <c r="AG31" s="133"/>
      <c r="AH31" s="52"/>
      <c r="AI31" s="52"/>
      <c r="AJ31" s="52"/>
      <c r="AK31" s="53"/>
    </row>
    <row r="32" spans="1:40" ht="15" customHeight="1">
      <c r="A32" s="56"/>
      <c r="B32" s="80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8"/>
      <c r="O32" s="112"/>
      <c r="P32" s="112"/>
      <c r="Q32" s="112"/>
      <c r="R32" s="119"/>
      <c r="S32" s="119"/>
      <c r="T32" s="119"/>
      <c r="U32" s="119"/>
      <c r="V32" s="123"/>
      <c r="W32" s="123"/>
      <c r="X32" s="123"/>
      <c r="Y32" s="123"/>
      <c r="Z32" s="129"/>
      <c r="AA32" s="129"/>
      <c r="AB32" s="129"/>
      <c r="AC32" s="129"/>
      <c r="AD32" s="133"/>
      <c r="AE32" s="133"/>
      <c r="AF32" s="133"/>
      <c r="AG32" s="133"/>
      <c r="AH32" s="52"/>
      <c r="AI32" s="52"/>
      <c r="AJ32" s="52"/>
      <c r="AK32" s="17"/>
      <c r="AM32" s="116" t="s">
        <v>93</v>
      </c>
      <c r="AN32" s="116"/>
    </row>
    <row r="33" spans="1:40" ht="15" customHeight="1">
      <c r="A33" s="56"/>
      <c r="B33" s="80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8"/>
      <c r="O33" s="112"/>
      <c r="P33" s="112"/>
      <c r="Q33" s="112"/>
      <c r="R33" s="119"/>
      <c r="S33" s="119"/>
      <c r="T33" s="119"/>
      <c r="U33" s="119"/>
      <c r="V33" s="123"/>
      <c r="W33" s="123"/>
      <c r="X33" s="123"/>
      <c r="Y33" s="123"/>
      <c r="Z33" s="129"/>
      <c r="AA33" s="129"/>
      <c r="AB33" s="129"/>
      <c r="AC33" s="129"/>
      <c r="AD33" s="133"/>
      <c r="AE33" s="133"/>
      <c r="AF33" s="133"/>
      <c r="AG33" s="133"/>
      <c r="AH33" s="52"/>
      <c r="AI33" s="52"/>
      <c r="AJ33" s="52"/>
      <c r="AK33" s="17"/>
      <c r="AM33" s="116" t="s">
        <v>94</v>
      </c>
      <c r="AN33" s="116"/>
    </row>
    <row r="34" spans="1:40" ht="15" customHeight="1">
      <c r="A34" s="56"/>
      <c r="B34" s="80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8"/>
      <c r="O34" s="112"/>
      <c r="P34" s="112"/>
      <c r="Q34" s="112"/>
      <c r="R34" s="119"/>
      <c r="S34" s="119"/>
      <c r="T34" s="119"/>
      <c r="U34" s="119"/>
      <c r="V34" s="123"/>
      <c r="W34" s="123"/>
      <c r="X34" s="123"/>
      <c r="Y34" s="123"/>
      <c r="Z34" s="129"/>
      <c r="AA34" s="129"/>
      <c r="AB34" s="129"/>
      <c r="AC34" s="129"/>
      <c r="AD34" s="134"/>
      <c r="AE34" s="134"/>
      <c r="AF34" s="134"/>
      <c r="AG34" s="134"/>
      <c r="AH34" s="57"/>
      <c r="AI34" s="52"/>
      <c r="AJ34" s="52"/>
      <c r="AK34" s="53"/>
      <c r="AM34" s="116" t="s">
        <v>95</v>
      </c>
      <c r="AN34" s="116"/>
    </row>
    <row r="35" spans="1:40" ht="15" customHeight="1">
      <c r="A35" s="56"/>
      <c r="B35" s="80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8"/>
      <c r="O35" s="112"/>
      <c r="P35" s="112"/>
      <c r="Q35" s="113"/>
      <c r="R35" s="119"/>
      <c r="S35" s="119"/>
      <c r="T35" s="119"/>
      <c r="U35" s="119"/>
      <c r="V35" s="123"/>
      <c r="W35" s="123"/>
      <c r="X35" s="123"/>
      <c r="Y35" s="122"/>
      <c r="Z35" s="129"/>
      <c r="AA35" s="129"/>
      <c r="AB35" s="129"/>
      <c r="AC35" s="129"/>
      <c r="AD35" s="133"/>
      <c r="AE35" s="134"/>
      <c r="AF35" s="134"/>
      <c r="AG35" s="134"/>
      <c r="AH35" s="52"/>
      <c r="AI35" s="52"/>
      <c r="AJ35" s="52"/>
      <c r="AK35" s="53"/>
    </row>
    <row r="36" spans="1:40" ht="15" customHeight="1">
      <c r="A36" s="56"/>
      <c r="B36" s="80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8"/>
      <c r="O36" s="112"/>
      <c r="P36" s="112"/>
      <c r="Q36" s="112"/>
      <c r="R36" s="119"/>
      <c r="S36" s="119"/>
      <c r="T36" s="119"/>
      <c r="U36" s="119"/>
      <c r="V36" s="123"/>
      <c r="W36" s="123"/>
      <c r="X36" s="123"/>
      <c r="Y36" s="123"/>
      <c r="Z36" s="129"/>
      <c r="AA36" s="129"/>
      <c r="AB36" s="129"/>
      <c r="AC36" s="129"/>
      <c r="AD36" s="134"/>
      <c r="AE36" s="134"/>
      <c r="AF36" s="134"/>
      <c r="AG36" s="134"/>
      <c r="AH36" s="57"/>
      <c r="AI36" s="52"/>
      <c r="AJ36" s="52"/>
      <c r="AK36" s="53"/>
    </row>
    <row r="37" spans="1:40" ht="15" customHeight="1">
      <c r="A37" s="83"/>
      <c r="B37" s="79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2"/>
      <c r="O37" s="112"/>
      <c r="P37" s="112"/>
      <c r="Q37" s="112"/>
      <c r="R37" s="119"/>
      <c r="S37" s="119"/>
      <c r="T37" s="119"/>
      <c r="U37" s="119"/>
      <c r="V37" s="123"/>
      <c r="W37" s="123"/>
      <c r="X37" s="123"/>
      <c r="Y37" s="123"/>
      <c r="Z37" s="129"/>
      <c r="AA37" s="129"/>
      <c r="AB37" s="129"/>
      <c r="AC37" s="129"/>
      <c r="AD37" s="134"/>
      <c r="AE37" s="134"/>
      <c r="AF37" s="134"/>
      <c r="AG37" s="134"/>
      <c r="AH37" s="57"/>
      <c r="AI37" s="52"/>
      <c r="AJ37" s="52"/>
      <c r="AK37" s="53"/>
    </row>
    <row r="38" spans="1:40" ht="15" customHeight="1">
      <c r="A38" s="56"/>
      <c r="B38" s="80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8"/>
      <c r="O38" s="112"/>
      <c r="P38" s="113"/>
      <c r="Q38" s="113"/>
      <c r="R38" s="119"/>
      <c r="S38" s="119"/>
      <c r="T38" s="119"/>
      <c r="U38" s="119"/>
      <c r="V38" s="123"/>
      <c r="W38" s="123"/>
      <c r="X38" s="122"/>
      <c r="Y38" s="122"/>
      <c r="Z38" s="129"/>
      <c r="AA38" s="129"/>
      <c r="AB38" s="129"/>
      <c r="AC38" s="128"/>
      <c r="AD38" s="133"/>
      <c r="AE38" s="134"/>
      <c r="AF38" s="134"/>
      <c r="AG38" s="133"/>
      <c r="AH38" s="52"/>
      <c r="AI38" s="52"/>
      <c r="AJ38" s="52"/>
      <c r="AK38" s="17"/>
    </row>
    <row r="39" spans="1:40" ht="15" customHeight="1">
      <c r="A39" s="56"/>
      <c r="B39" s="96" t="s">
        <v>64</v>
      </c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8"/>
      <c r="O39" s="112"/>
      <c r="P39" s="113"/>
      <c r="Q39" s="113"/>
      <c r="R39" s="119"/>
      <c r="S39" s="119"/>
      <c r="T39" s="119"/>
      <c r="U39" s="119"/>
      <c r="V39" s="123"/>
      <c r="W39" s="123"/>
      <c r="X39" s="122"/>
      <c r="Y39" s="122"/>
      <c r="Z39" s="129"/>
      <c r="AA39" s="129"/>
      <c r="AB39" s="129"/>
      <c r="AC39" s="128"/>
      <c r="AD39" s="133"/>
      <c r="AE39" s="134"/>
      <c r="AF39" s="134"/>
      <c r="AG39" s="133"/>
      <c r="AH39" s="52"/>
      <c r="AI39" s="52"/>
      <c r="AJ39" s="52"/>
      <c r="AK39" s="17"/>
    </row>
    <row r="40" spans="1:40" ht="15" customHeight="1">
      <c r="A40" s="56"/>
      <c r="B40" s="99"/>
      <c r="C40" s="92" t="s">
        <v>50</v>
      </c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4"/>
      <c r="O40" s="112"/>
      <c r="P40" s="113"/>
      <c r="Q40" s="112" t="s">
        <v>70</v>
      </c>
      <c r="R40" s="119"/>
      <c r="S40" s="119"/>
      <c r="T40" s="119" t="s">
        <v>70</v>
      </c>
      <c r="U40" s="119" t="s">
        <v>70</v>
      </c>
      <c r="V40" s="123"/>
      <c r="W40" s="123" t="s">
        <v>70</v>
      </c>
      <c r="X40" s="123" t="s">
        <v>70</v>
      </c>
      <c r="Y40" s="122"/>
      <c r="Z40" s="129"/>
      <c r="AA40" s="129" t="s">
        <v>70</v>
      </c>
      <c r="AB40" s="129"/>
      <c r="AC40" s="129" t="s">
        <v>70</v>
      </c>
      <c r="AD40" s="133"/>
      <c r="AE40" s="134"/>
      <c r="AF40" s="134" t="s">
        <v>82</v>
      </c>
      <c r="AG40" s="134" t="s">
        <v>82</v>
      </c>
      <c r="AH40" s="52"/>
      <c r="AI40" s="52"/>
      <c r="AJ40" s="52"/>
      <c r="AK40" s="17"/>
    </row>
    <row r="41" spans="1:40" ht="15" customHeight="1">
      <c r="A41" s="56"/>
      <c r="B41" s="79"/>
      <c r="C41" s="92" t="s">
        <v>51</v>
      </c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2"/>
      <c r="O41" s="112" t="s">
        <v>70</v>
      </c>
      <c r="P41" s="112" t="s">
        <v>70</v>
      </c>
      <c r="Q41" s="112"/>
      <c r="R41" s="119" t="s">
        <v>70</v>
      </c>
      <c r="S41" s="119" t="s">
        <v>70</v>
      </c>
      <c r="T41" s="119"/>
      <c r="U41" s="119"/>
      <c r="V41" s="123" t="s">
        <v>70</v>
      </c>
      <c r="W41" s="123"/>
      <c r="X41" s="123"/>
      <c r="Y41" s="123" t="s">
        <v>70</v>
      </c>
      <c r="Z41" s="129" t="s">
        <v>70</v>
      </c>
      <c r="AA41" s="129"/>
      <c r="AB41" s="129" t="s">
        <v>70</v>
      </c>
      <c r="AC41" s="128"/>
      <c r="AD41" s="134" t="s">
        <v>82</v>
      </c>
      <c r="AE41" s="134" t="s">
        <v>82</v>
      </c>
      <c r="AF41" s="134"/>
      <c r="AG41" s="133"/>
      <c r="AH41" s="52"/>
      <c r="AI41" s="52"/>
      <c r="AJ41" s="52"/>
      <c r="AK41" s="17"/>
    </row>
    <row r="42" spans="1:40" ht="15" customHeight="1">
      <c r="A42" s="56" t="s">
        <v>12</v>
      </c>
      <c r="B42" s="80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8"/>
      <c r="O42" s="112"/>
      <c r="P42" s="113"/>
      <c r="Q42" s="113"/>
      <c r="R42" s="119"/>
      <c r="S42" s="119"/>
      <c r="T42" s="119"/>
      <c r="U42" s="119"/>
      <c r="V42" s="123"/>
      <c r="W42" s="123"/>
      <c r="X42" s="122"/>
      <c r="Y42" s="122"/>
      <c r="Z42" s="129"/>
      <c r="AA42" s="129"/>
      <c r="AB42" s="129"/>
      <c r="AC42" s="128"/>
      <c r="AD42" s="133"/>
      <c r="AE42" s="134"/>
      <c r="AF42" s="134"/>
      <c r="AG42" s="133"/>
      <c r="AH42" s="52"/>
      <c r="AI42" s="52"/>
      <c r="AJ42" s="52"/>
      <c r="AK42" s="17"/>
    </row>
    <row r="43" spans="1:40" ht="15" customHeight="1">
      <c r="A43" s="56" t="s">
        <v>13</v>
      </c>
      <c r="B43" s="96" t="s">
        <v>67</v>
      </c>
      <c r="C43" s="100"/>
      <c r="D43" s="100"/>
      <c r="E43" s="97"/>
      <c r="F43" s="97"/>
      <c r="G43" s="97"/>
      <c r="H43" s="97"/>
      <c r="I43" s="97"/>
      <c r="J43" s="97"/>
      <c r="K43" s="97"/>
      <c r="L43" s="97"/>
      <c r="M43" s="97"/>
      <c r="N43" s="98"/>
      <c r="O43" s="112"/>
      <c r="P43" s="113"/>
      <c r="Q43" s="113"/>
      <c r="R43" s="119"/>
      <c r="S43" s="119"/>
      <c r="T43" s="119"/>
      <c r="U43" s="119"/>
      <c r="V43" s="123"/>
      <c r="W43" s="123"/>
      <c r="X43" s="122"/>
      <c r="Y43" s="122"/>
      <c r="Z43" s="129"/>
      <c r="AA43" s="129"/>
      <c r="AB43" s="129"/>
      <c r="AC43" s="128"/>
      <c r="AD43" s="133"/>
      <c r="AE43" s="134"/>
      <c r="AF43" s="134"/>
      <c r="AG43" s="133"/>
      <c r="AH43" s="52"/>
      <c r="AI43" s="52"/>
      <c r="AJ43" s="52"/>
      <c r="AK43" s="17"/>
    </row>
    <row r="44" spans="1:40" ht="15" customHeight="1">
      <c r="A44" s="56" t="s">
        <v>14</v>
      </c>
      <c r="B44" s="80"/>
      <c r="C44" s="96" t="s">
        <v>65</v>
      </c>
      <c r="D44" s="97"/>
      <c r="E44" s="93"/>
      <c r="F44" s="93"/>
      <c r="G44" s="93"/>
      <c r="H44" s="93"/>
      <c r="I44" s="93"/>
      <c r="J44" s="93"/>
      <c r="K44" s="93"/>
      <c r="L44" s="93"/>
      <c r="M44" s="93"/>
      <c r="N44" s="94"/>
      <c r="O44" s="112"/>
      <c r="P44" s="113"/>
      <c r="Q44" s="113"/>
      <c r="R44" s="119"/>
      <c r="S44" s="119"/>
      <c r="T44" s="119"/>
      <c r="U44" s="119"/>
      <c r="V44" s="123"/>
      <c r="W44" s="123"/>
      <c r="X44" s="122"/>
      <c r="Y44" s="122"/>
      <c r="Z44" s="129"/>
      <c r="AA44" s="128"/>
      <c r="AB44" s="128"/>
      <c r="AC44" s="128"/>
      <c r="AD44" s="133"/>
      <c r="AE44" s="133"/>
      <c r="AF44" s="133"/>
      <c r="AG44" s="133"/>
      <c r="AH44" s="52"/>
      <c r="AI44" s="52"/>
      <c r="AJ44" s="52"/>
      <c r="AK44" s="17"/>
    </row>
    <row r="45" spans="1:40" ht="27" customHeight="1">
      <c r="A45" s="102" t="s">
        <v>15</v>
      </c>
      <c r="B45" s="80"/>
      <c r="C45" s="59"/>
      <c r="D45" s="181" t="s">
        <v>85</v>
      </c>
      <c r="E45" s="182"/>
      <c r="F45" s="182"/>
      <c r="G45" s="182"/>
      <c r="H45" s="182"/>
      <c r="I45" s="182"/>
      <c r="J45" s="182"/>
      <c r="K45" s="182"/>
      <c r="L45" s="182"/>
      <c r="M45" s="182"/>
      <c r="N45" s="183"/>
      <c r="O45" s="112"/>
      <c r="P45" s="112"/>
      <c r="Q45" s="112" t="s">
        <v>70</v>
      </c>
      <c r="R45" s="119"/>
      <c r="S45" s="119"/>
      <c r="T45" s="119"/>
      <c r="U45" s="119"/>
      <c r="V45" s="123"/>
      <c r="W45" s="123"/>
      <c r="X45" s="123"/>
      <c r="Y45" s="123"/>
      <c r="Z45" s="129"/>
      <c r="AA45" s="128"/>
      <c r="AB45" s="128"/>
      <c r="AC45" s="128"/>
      <c r="AD45" s="133"/>
      <c r="AE45" s="133"/>
      <c r="AF45" s="133"/>
      <c r="AG45" s="133"/>
      <c r="AH45" s="52"/>
      <c r="AI45" s="52"/>
      <c r="AJ45" s="52"/>
      <c r="AK45" s="17"/>
    </row>
    <row r="46" spans="1:40" ht="27" customHeight="1">
      <c r="A46" s="56"/>
      <c r="B46" s="80"/>
      <c r="C46" s="80"/>
      <c r="D46" s="193" t="s">
        <v>86</v>
      </c>
      <c r="E46" s="194"/>
      <c r="F46" s="194"/>
      <c r="G46" s="194"/>
      <c r="H46" s="194"/>
      <c r="I46" s="194"/>
      <c r="J46" s="194"/>
      <c r="K46" s="194"/>
      <c r="L46" s="194"/>
      <c r="M46" s="194"/>
      <c r="N46" s="195"/>
      <c r="O46" s="112"/>
      <c r="P46" s="112"/>
      <c r="Q46" s="112"/>
      <c r="R46" s="119"/>
      <c r="S46" s="119"/>
      <c r="T46" s="119" t="s">
        <v>70</v>
      </c>
      <c r="U46" s="119" t="s">
        <v>70</v>
      </c>
      <c r="V46" s="123"/>
      <c r="W46" s="123"/>
      <c r="X46" s="123"/>
      <c r="Y46" s="123"/>
      <c r="Z46" s="129"/>
      <c r="AA46" s="129"/>
      <c r="AB46" s="129"/>
      <c r="AC46" s="129"/>
      <c r="AD46" s="134"/>
      <c r="AE46" s="134"/>
      <c r="AF46" s="134" t="s">
        <v>82</v>
      </c>
      <c r="AG46" s="134" t="s">
        <v>82</v>
      </c>
      <c r="AH46" s="57"/>
      <c r="AI46" s="52"/>
      <c r="AJ46" s="52"/>
      <c r="AK46" s="53"/>
    </row>
    <row r="47" spans="1:40" ht="27" customHeight="1">
      <c r="A47" s="56"/>
      <c r="B47" s="80"/>
      <c r="C47" s="80"/>
      <c r="D47" s="193" t="s">
        <v>87</v>
      </c>
      <c r="E47" s="194"/>
      <c r="F47" s="194"/>
      <c r="G47" s="194"/>
      <c r="H47" s="194"/>
      <c r="I47" s="194"/>
      <c r="J47" s="194"/>
      <c r="K47" s="194"/>
      <c r="L47" s="194"/>
      <c r="M47" s="194"/>
      <c r="N47" s="195"/>
      <c r="O47" s="112"/>
      <c r="P47" s="112"/>
      <c r="Q47" s="112"/>
      <c r="R47" s="119"/>
      <c r="S47" s="119"/>
      <c r="T47" s="119"/>
      <c r="U47" s="119"/>
      <c r="V47" s="123"/>
      <c r="W47" s="123"/>
      <c r="X47" s="123"/>
      <c r="Y47" s="123"/>
      <c r="Z47" s="129"/>
      <c r="AA47" s="129" t="s">
        <v>70</v>
      </c>
      <c r="AB47" s="129"/>
      <c r="AC47" s="129" t="s">
        <v>70</v>
      </c>
      <c r="AD47" s="134"/>
      <c r="AE47" s="133"/>
      <c r="AF47" s="133"/>
      <c r="AG47" s="133"/>
      <c r="AH47" s="52"/>
      <c r="AI47" s="52"/>
      <c r="AJ47" s="52"/>
      <c r="AK47" s="17"/>
    </row>
    <row r="48" spans="1:40" ht="39.75" customHeight="1">
      <c r="A48" s="56"/>
      <c r="B48" s="80"/>
      <c r="C48" s="79"/>
      <c r="D48" s="196" t="s">
        <v>88</v>
      </c>
      <c r="E48" s="197"/>
      <c r="F48" s="197"/>
      <c r="G48" s="197"/>
      <c r="H48" s="197"/>
      <c r="I48" s="197"/>
      <c r="J48" s="197"/>
      <c r="K48" s="197"/>
      <c r="L48" s="197"/>
      <c r="M48" s="197"/>
      <c r="N48" s="198"/>
      <c r="O48" s="112"/>
      <c r="P48" s="112"/>
      <c r="Q48" s="112"/>
      <c r="R48" s="119"/>
      <c r="S48" s="119"/>
      <c r="T48" s="119"/>
      <c r="U48" s="119"/>
      <c r="V48" s="123"/>
      <c r="W48" s="123" t="s">
        <v>70</v>
      </c>
      <c r="X48" s="123" t="s">
        <v>70</v>
      </c>
      <c r="Y48" s="123"/>
      <c r="Z48" s="129"/>
      <c r="AA48" s="129"/>
      <c r="AB48" s="129"/>
      <c r="AC48" s="128"/>
      <c r="AD48" s="134"/>
      <c r="AE48" s="133"/>
      <c r="AF48" s="133"/>
      <c r="AG48" s="133"/>
      <c r="AH48" s="52"/>
      <c r="AI48" s="52"/>
      <c r="AJ48" s="52"/>
      <c r="AK48" s="17"/>
    </row>
    <row r="49" spans="1:37" ht="15" customHeight="1">
      <c r="A49" s="56"/>
      <c r="B49" s="59"/>
      <c r="C49" s="96" t="s">
        <v>66</v>
      </c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8"/>
      <c r="O49" s="112"/>
      <c r="P49" s="112"/>
      <c r="Q49" s="112"/>
      <c r="R49" s="119"/>
      <c r="S49" s="119"/>
      <c r="T49" s="119"/>
      <c r="U49" s="119"/>
      <c r="V49" s="123"/>
      <c r="W49" s="123"/>
      <c r="X49" s="123"/>
      <c r="Y49" s="123"/>
      <c r="Z49" s="129"/>
      <c r="AA49" s="128"/>
      <c r="AB49" s="128"/>
      <c r="AC49" s="128"/>
      <c r="AD49" s="133"/>
      <c r="AE49" s="133"/>
      <c r="AF49" s="133"/>
      <c r="AG49" s="133"/>
      <c r="AH49" s="52"/>
      <c r="AI49" s="52"/>
      <c r="AJ49" s="52"/>
      <c r="AK49" s="17"/>
    </row>
    <row r="50" spans="1:37" ht="41.25" customHeight="1">
      <c r="A50" s="56"/>
      <c r="B50" s="99"/>
      <c r="C50" s="13"/>
      <c r="D50" s="178" t="s">
        <v>68</v>
      </c>
      <c r="E50" s="179"/>
      <c r="F50" s="179"/>
      <c r="G50" s="179"/>
      <c r="H50" s="179"/>
      <c r="I50" s="179"/>
      <c r="J50" s="179"/>
      <c r="K50" s="179"/>
      <c r="L50" s="179"/>
      <c r="M50" s="179"/>
      <c r="N50" s="180"/>
      <c r="O50" s="112" t="s">
        <v>70</v>
      </c>
      <c r="P50" s="112" t="s">
        <v>70</v>
      </c>
      <c r="Q50" s="112"/>
      <c r="R50" s="119"/>
      <c r="S50" s="119" t="s">
        <v>70</v>
      </c>
      <c r="T50" s="119"/>
      <c r="U50" s="119"/>
      <c r="V50" s="123"/>
      <c r="W50" s="123"/>
      <c r="X50" s="123"/>
      <c r="Y50" s="123" t="s">
        <v>70</v>
      </c>
      <c r="Z50" s="129"/>
      <c r="AA50" s="129"/>
      <c r="AB50" s="129" t="s">
        <v>70</v>
      </c>
      <c r="AC50" s="128"/>
      <c r="AD50" s="134"/>
      <c r="AE50" s="134" t="s">
        <v>82</v>
      </c>
      <c r="AF50" s="133"/>
      <c r="AG50" s="133"/>
      <c r="AH50" s="52"/>
      <c r="AI50" s="52"/>
      <c r="AJ50" s="52"/>
      <c r="AK50" s="17"/>
    </row>
    <row r="51" spans="1:37" ht="15" customHeight="1">
      <c r="A51" s="56"/>
      <c r="B51" s="79"/>
      <c r="C51" s="92" t="s">
        <v>69</v>
      </c>
      <c r="D51" s="101"/>
      <c r="E51" s="93"/>
      <c r="F51" s="93"/>
      <c r="G51" s="93"/>
      <c r="H51" s="93"/>
      <c r="I51" s="93"/>
      <c r="J51" s="93"/>
      <c r="K51" s="93"/>
      <c r="L51" s="93"/>
      <c r="M51" s="93"/>
      <c r="N51" s="94"/>
      <c r="O51" s="112"/>
      <c r="P51" s="112"/>
      <c r="Q51" s="112"/>
      <c r="R51" s="119" t="s">
        <v>70</v>
      </c>
      <c r="S51" s="119"/>
      <c r="T51" s="119"/>
      <c r="U51" s="119"/>
      <c r="V51" s="123" t="s">
        <v>70</v>
      </c>
      <c r="W51" s="123"/>
      <c r="X51" s="123"/>
      <c r="Y51" s="123"/>
      <c r="Z51" s="129" t="s">
        <v>70</v>
      </c>
      <c r="AA51" s="129"/>
      <c r="AB51" s="129"/>
      <c r="AC51" s="128"/>
      <c r="AD51" s="134" t="s">
        <v>82</v>
      </c>
      <c r="AE51" s="133"/>
      <c r="AF51" s="133"/>
      <c r="AG51" s="133"/>
      <c r="AH51" s="52"/>
      <c r="AI51" s="52"/>
      <c r="AJ51" s="52"/>
      <c r="AK51" s="53"/>
    </row>
    <row r="52" spans="1:37" ht="15" customHeight="1">
      <c r="A52" s="56"/>
      <c r="B52" s="80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8"/>
      <c r="O52" s="112"/>
      <c r="P52" s="112"/>
      <c r="Q52" s="112"/>
      <c r="R52" s="119"/>
      <c r="S52" s="119"/>
      <c r="T52" s="119"/>
      <c r="U52" s="119"/>
      <c r="V52" s="123"/>
      <c r="W52" s="123"/>
      <c r="X52" s="123"/>
      <c r="Y52" s="123"/>
      <c r="Z52" s="129"/>
      <c r="AA52" s="129"/>
      <c r="AB52" s="129"/>
      <c r="AC52" s="128"/>
      <c r="AD52" s="134"/>
      <c r="AE52" s="133"/>
      <c r="AF52" s="133"/>
      <c r="AG52" s="133"/>
      <c r="AH52" s="52"/>
      <c r="AI52" s="52"/>
      <c r="AJ52" s="52"/>
      <c r="AK52" s="17"/>
    </row>
    <row r="53" spans="1:37" ht="15" customHeight="1">
      <c r="A53" s="56"/>
      <c r="B53" s="80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8"/>
      <c r="O53" s="112"/>
      <c r="P53" s="112"/>
      <c r="Q53" s="112"/>
      <c r="R53" s="119"/>
      <c r="S53" s="119"/>
      <c r="T53" s="119"/>
      <c r="U53" s="119"/>
      <c r="V53" s="123"/>
      <c r="W53" s="123"/>
      <c r="X53" s="123"/>
      <c r="Y53" s="123"/>
      <c r="Z53" s="129"/>
      <c r="AA53" s="129"/>
      <c r="AB53" s="129"/>
      <c r="AC53" s="128"/>
      <c r="AD53" s="134"/>
      <c r="AE53" s="133"/>
      <c r="AF53" s="133"/>
      <c r="AG53" s="133"/>
      <c r="AH53" s="52"/>
      <c r="AI53" s="52"/>
      <c r="AJ53" s="52"/>
      <c r="AK53" s="17"/>
    </row>
    <row r="54" spans="1:37" ht="15" customHeight="1">
      <c r="A54" s="56"/>
      <c r="B54" s="79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2"/>
      <c r="O54" s="112"/>
      <c r="P54" s="112"/>
      <c r="Q54" s="112"/>
      <c r="R54" s="119"/>
      <c r="S54" s="119"/>
      <c r="T54" s="119"/>
      <c r="U54" s="119"/>
      <c r="V54" s="123"/>
      <c r="W54" s="123"/>
      <c r="X54" s="123"/>
      <c r="Y54" s="123"/>
      <c r="Z54" s="129"/>
      <c r="AA54" s="129"/>
      <c r="AB54" s="129"/>
      <c r="AC54" s="129"/>
      <c r="AD54" s="133"/>
      <c r="AE54" s="133"/>
      <c r="AF54" s="133"/>
      <c r="AG54" s="133"/>
      <c r="AH54" s="52"/>
      <c r="AI54" s="52"/>
      <c r="AJ54" s="52"/>
      <c r="AK54" s="17"/>
    </row>
    <row r="55" spans="1:37" ht="15" customHeight="1">
      <c r="A55" s="10"/>
      <c r="C55" s="19"/>
      <c r="D55" s="184" t="s">
        <v>48</v>
      </c>
      <c r="E55" s="185"/>
      <c r="F55" s="185"/>
      <c r="G55" s="185"/>
      <c r="H55" s="185"/>
      <c r="I55" s="186"/>
      <c r="J55" s="59"/>
      <c r="N55" s="20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2"/>
    </row>
    <row r="56" spans="1:37" ht="15" customHeight="1">
      <c r="A56" s="60"/>
      <c r="B56" s="61"/>
      <c r="C56" s="62"/>
      <c r="D56" s="184"/>
      <c r="E56" s="185"/>
      <c r="F56" s="185"/>
      <c r="G56" s="185"/>
      <c r="H56" s="185"/>
      <c r="I56" s="186"/>
      <c r="J56" s="13"/>
      <c r="K56" s="14"/>
      <c r="L56" s="14"/>
      <c r="M56" s="14"/>
      <c r="N56" s="15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7"/>
    </row>
    <row r="57" spans="1:37" ht="15" customHeight="1">
      <c r="A57" s="18"/>
      <c r="C57" s="19"/>
      <c r="D57" s="184"/>
      <c r="E57" s="185"/>
      <c r="F57" s="185"/>
      <c r="G57" s="185"/>
      <c r="H57" s="185"/>
      <c r="I57" s="186"/>
      <c r="M57" s="19"/>
      <c r="N57" s="20"/>
      <c r="O57" s="68" t="str">
        <f t="shared" ref="O57:AK57" si="0">IF(O58&lt;&gt;"",MONTH(O58),"")</f>
        <v/>
      </c>
      <c r="P57" s="68" t="str">
        <f t="shared" si="0"/>
        <v/>
      </c>
      <c r="Q57" s="68" t="str">
        <f t="shared" si="0"/>
        <v/>
      </c>
      <c r="R57" s="68" t="str">
        <f t="shared" si="0"/>
        <v/>
      </c>
      <c r="S57" s="68" t="str">
        <f t="shared" si="0"/>
        <v/>
      </c>
      <c r="T57" s="68" t="str">
        <f t="shared" si="0"/>
        <v/>
      </c>
      <c r="U57" s="68" t="str">
        <f t="shared" si="0"/>
        <v/>
      </c>
      <c r="V57" s="68" t="str">
        <f t="shared" si="0"/>
        <v/>
      </c>
      <c r="W57" s="68" t="str">
        <f t="shared" si="0"/>
        <v/>
      </c>
      <c r="X57" s="68" t="str">
        <f t="shared" si="0"/>
        <v/>
      </c>
      <c r="Y57" s="68" t="str">
        <f t="shared" si="0"/>
        <v/>
      </c>
      <c r="Z57" s="68" t="str">
        <f t="shared" si="0"/>
        <v/>
      </c>
      <c r="AA57" s="68" t="str">
        <f t="shared" si="0"/>
        <v/>
      </c>
      <c r="AB57" s="68" t="str">
        <f t="shared" si="0"/>
        <v/>
      </c>
      <c r="AC57" s="68" t="str">
        <f t="shared" si="0"/>
        <v/>
      </c>
      <c r="AD57" s="68" t="str">
        <f t="shared" si="0"/>
        <v/>
      </c>
      <c r="AE57" s="68" t="str">
        <f t="shared" si="0"/>
        <v/>
      </c>
      <c r="AF57" s="68" t="str">
        <f t="shared" si="0"/>
        <v/>
      </c>
      <c r="AG57" s="68" t="str">
        <f t="shared" si="0"/>
        <v/>
      </c>
      <c r="AH57" s="68" t="str">
        <f t="shared" si="0"/>
        <v/>
      </c>
      <c r="AI57" s="68" t="str">
        <f t="shared" si="0"/>
        <v/>
      </c>
      <c r="AJ57" s="68" t="str">
        <f t="shared" si="0"/>
        <v/>
      </c>
      <c r="AK57" s="69" t="str">
        <f t="shared" si="0"/>
        <v/>
      </c>
    </row>
    <row r="58" spans="1:37" ht="15" customHeight="1">
      <c r="A58" s="21"/>
      <c r="B58" s="14"/>
      <c r="C58" s="22"/>
      <c r="D58" s="187"/>
      <c r="E58" s="188"/>
      <c r="F58" s="188"/>
      <c r="G58" s="188"/>
      <c r="H58" s="188"/>
      <c r="I58" s="189"/>
      <c r="M58" s="19"/>
      <c r="N58" s="15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1"/>
    </row>
    <row r="59" spans="1:37" ht="15" customHeight="1">
      <c r="A59" s="167" t="s">
        <v>43</v>
      </c>
      <c r="B59" s="168"/>
      <c r="C59" s="169"/>
      <c r="D59" s="177"/>
      <c r="E59" s="175"/>
      <c r="F59" s="175"/>
      <c r="G59" s="175"/>
      <c r="H59" s="175"/>
      <c r="I59" s="176"/>
      <c r="M59" s="19"/>
      <c r="N59" s="20"/>
      <c r="O59" s="68" t="str">
        <f t="shared" ref="O59:AK59" si="1">IF(O60&lt;&gt;"",MONTH(O60),"")</f>
        <v/>
      </c>
      <c r="P59" s="68" t="str">
        <f t="shared" si="1"/>
        <v/>
      </c>
      <c r="Q59" s="68" t="str">
        <f t="shared" si="1"/>
        <v/>
      </c>
      <c r="R59" s="68" t="str">
        <f t="shared" si="1"/>
        <v/>
      </c>
      <c r="S59" s="68" t="str">
        <f t="shared" si="1"/>
        <v/>
      </c>
      <c r="T59" s="68" t="str">
        <f t="shared" si="1"/>
        <v/>
      </c>
      <c r="U59" s="68" t="str">
        <f t="shared" si="1"/>
        <v/>
      </c>
      <c r="V59" s="68" t="str">
        <f t="shared" si="1"/>
        <v/>
      </c>
      <c r="W59" s="68" t="str">
        <f t="shared" si="1"/>
        <v/>
      </c>
      <c r="X59" s="68" t="str">
        <f t="shared" si="1"/>
        <v/>
      </c>
      <c r="Y59" s="68" t="str">
        <f t="shared" si="1"/>
        <v/>
      </c>
      <c r="Z59" s="68" t="str">
        <f t="shared" si="1"/>
        <v/>
      </c>
      <c r="AA59" s="68" t="str">
        <f t="shared" si="1"/>
        <v/>
      </c>
      <c r="AB59" s="68" t="str">
        <f t="shared" si="1"/>
        <v/>
      </c>
      <c r="AC59" s="68" t="str">
        <f t="shared" si="1"/>
        <v/>
      </c>
      <c r="AD59" s="68" t="str">
        <f t="shared" si="1"/>
        <v/>
      </c>
      <c r="AE59" s="68" t="str">
        <f t="shared" si="1"/>
        <v/>
      </c>
      <c r="AF59" s="68" t="str">
        <f t="shared" si="1"/>
        <v/>
      </c>
      <c r="AG59" s="68" t="str">
        <f t="shared" si="1"/>
        <v/>
      </c>
      <c r="AH59" s="68" t="str">
        <f t="shared" si="1"/>
        <v/>
      </c>
      <c r="AI59" s="68" t="str">
        <f t="shared" si="1"/>
        <v/>
      </c>
      <c r="AJ59" s="68" t="str">
        <f t="shared" si="1"/>
        <v/>
      </c>
      <c r="AK59" s="69" t="str">
        <f t="shared" si="1"/>
        <v/>
      </c>
    </row>
    <row r="60" spans="1:37" ht="15" customHeight="1">
      <c r="A60" s="167" t="s">
        <v>44</v>
      </c>
      <c r="B60" s="168"/>
      <c r="C60" s="169"/>
      <c r="D60" s="190"/>
      <c r="E60" s="191"/>
      <c r="F60" s="191"/>
      <c r="G60" s="191"/>
      <c r="H60" s="191"/>
      <c r="I60" s="192"/>
      <c r="J60" s="14"/>
      <c r="K60" s="14"/>
      <c r="L60" s="14"/>
      <c r="M60" s="22"/>
      <c r="N60" s="15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3"/>
    </row>
    <row r="61" spans="1:37" ht="15" customHeight="1">
      <c r="A61" s="167" t="s">
        <v>16</v>
      </c>
      <c r="B61" s="168"/>
      <c r="C61" s="169"/>
      <c r="D61" s="170"/>
      <c r="E61" s="171"/>
      <c r="F61" s="171"/>
      <c r="G61" s="171"/>
      <c r="H61" s="171"/>
      <c r="I61" s="172"/>
      <c r="J61" s="14"/>
      <c r="K61" s="14"/>
      <c r="L61" s="14"/>
      <c r="M61" s="23" t="s">
        <v>17</v>
      </c>
      <c r="N61" s="15"/>
      <c r="O61" s="16" t="s">
        <v>45</v>
      </c>
      <c r="P61" s="16" t="s">
        <v>45</v>
      </c>
      <c r="Q61" s="16" t="s">
        <v>45</v>
      </c>
      <c r="R61" s="16" t="s">
        <v>45</v>
      </c>
      <c r="S61" s="16" t="s">
        <v>45</v>
      </c>
      <c r="T61" s="16" t="s">
        <v>45</v>
      </c>
      <c r="U61" s="16" t="s">
        <v>45</v>
      </c>
      <c r="V61" s="16" t="s">
        <v>45</v>
      </c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7"/>
    </row>
    <row r="62" spans="1:37" ht="15" customHeight="1">
      <c r="A62" s="167" t="s">
        <v>18</v>
      </c>
      <c r="B62" s="168"/>
      <c r="C62" s="169"/>
      <c r="D62" s="173"/>
      <c r="E62" s="168"/>
      <c r="F62" s="168"/>
      <c r="G62" s="168"/>
      <c r="H62" s="168"/>
      <c r="I62" s="169"/>
      <c r="J62" s="14"/>
      <c r="K62" s="14"/>
      <c r="L62" s="14"/>
      <c r="M62" s="23" t="s">
        <v>19</v>
      </c>
      <c r="N62" s="15"/>
      <c r="O62" s="16" t="s">
        <v>46</v>
      </c>
      <c r="P62" s="16" t="s">
        <v>46</v>
      </c>
      <c r="Q62" s="16" t="s">
        <v>46</v>
      </c>
      <c r="R62" s="16" t="s">
        <v>46</v>
      </c>
      <c r="S62" s="16" t="s">
        <v>46</v>
      </c>
      <c r="T62" s="16" t="s">
        <v>46</v>
      </c>
      <c r="U62" s="16" t="s">
        <v>46</v>
      </c>
      <c r="V62" s="16" t="s">
        <v>46</v>
      </c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7"/>
    </row>
    <row r="63" spans="1:37" ht="15" customHeight="1">
      <c r="A63" s="174" t="s">
        <v>20</v>
      </c>
      <c r="B63" s="175"/>
      <c r="C63" s="176"/>
      <c r="D63" s="177" t="s">
        <v>21</v>
      </c>
      <c r="E63" s="175"/>
      <c r="F63" s="175"/>
      <c r="G63" s="175"/>
      <c r="H63" s="175"/>
      <c r="I63" s="176"/>
      <c r="N63" s="20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2"/>
    </row>
    <row r="64" spans="1:37" ht="15" customHeight="1">
      <c r="A64" s="18"/>
      <c r="C64" s="19"/>
      <c r="E64" s="24" t="s">
        <v>22</v>
      </c>
      <c r="H64" s="24" t="s">
        <v>23</v>
      </c>
      <c r="I64" s="19"/>
      <c r="M64" s="24" t="s">
        <v>24</v>
      </c>
      <c r="N64" s="20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2"/>
    </row>
    <row r="65" spans="1:37" ht="15" customHeight="1">
      <c r="A65" s="18"/>
      <c r="C65" s="19"/>
      <c r="I65" s="19"/>
      <c r="J65" s="14"/>
      <c r="K65" s="14"/>
      <c r="L65" s="14"/>
      <c r="M65" s="14"/>
      <c r="N65" s="15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7"/>
    </row>
    <row r="66" spans="1:37" ht="15" customHeight="1">
      <c r="A66" s="161" t="s">
        <v>47</v>
      </c>
      <c r="B66" s="162"/>
      <c r="C66" s="163"/>
      <c r="I66" s="19"/>
      <c r="N66" s="20"/>
      <c r="O66" s="5" t="s">
        <v>40</v>
      </c>
      <c r="P66" s="25"/>
      <c r="Q66" s="25"/>
      <c r="R66" s="25"/>
      <c r="S66" s="25"/>
      <c r="T66" s="25"/>
      <c r="V66" s="19"/>
      <c r="AA66" s="19"/>
      <c r="AF66" s="39" t="s">
        <v>2</v>
      </c>
      <c r="AG66" s="36">
        <f>COUNTIF(O61:AK61,"A")</f>
        <v>8</v>
      </c>
      <c r="AH66" s="40" t="s">
        <v>3</v>
      </c>
      <c r="AI66" s="36">
        <f>COUNTIF(O61:AK61,"B")</f>
        <v>0</v>
      </c>
      <c r="AJ66" s="40" t="s">
        <v>4</v>
      </c>
      <c r="AK66" s="34">
        <f>COUNTIF(O61:AK61,"C")</f>
        <v>0</v>
      </c>
    </row>
    <row r="67" spans="1:37" ht="15" customHeight="1">
      <c r="A67" s="18"/>
      <c r="C67" s="19"/>
      <c r="I67" s="19"/>
      <c r="K67" s="1"/>
      <c r="L67" s="1"/>
      <c r="M67" s="1"/>
      <c r="N67" s="54"/>
      <c r="O67" s="5" t="s">
        <v>41</v>
      </c>
      <c r="Q67" s="26"/>
      <c r="V67" s="19"/>
      <c r="Y67" s="24" t="s">
        <v>25</v>
      </c>
      <c r="AA67" s="19"/>
      <c r="AB67" s="45"/>
      <c r="AC67" s="44">
        <v>1</v>
      </c>
      <c r="AD67" s="33"/>
      <c r="AE67" s="44">
        <v>1</v>
      </c>
      <c r="AF67" s="41" t="s">
        <v>5</v>
      </c>
      <c r="AG67" s="37">
        <f>COUNTIF(M62:AI62,"N")</f>
        <v>8</v>
      </c>
      <c r="AH67" s="42" t="s">
        <v>2</v>
      </c>
      <c r="AI67" s="37">
        <f>COUNTIF(O62:AK62,"A")</f>
        <v>0</v>
      </c>
      <c r="AJ67" s="42" t="s">
        <v>3</v>
      </c>
      <c r="AK67" s="35">
        <f>COUNTIF(O62:AK62,"B")</f>
        <v>0</v>
      </c>
    </row>
    <row r="68" spans="1:37" ht="15" customHeight="1" thickBot="1">
      <c r="A68" s="85"/>
      <c r="B68" s="86"/>
      <c r="C68" s="87"/>
      <c r="D68" s="164"/>
      <c r="E68" s="165"/>
      <c r="F68" s="165"/>
      <c r="G68" s="165"/>
      <c r="H68" s="165"/>
      <c r="I68" s="166"/>
      <c r="J68" s="28"/>
      <c r="K68" s="63"/>
      <c r="L68" s="63"/>
      <c r="M68" s="63"/>
      <c r="N68" s="29"/>
      <c r="O68" s="28"/>
      <c r="P68" s="28"/>
      <c r="Q68" s="28"/>
      <c r="R68" s="28"/>
      <c r="S68" s="28"/>
      <c r="T68" s="28"/>
      <c r="U68" s="28"/>
      <c r="V68" s="27"/>
      <c r="W68" s="28"/>
      <c r="X68" s="28"/>
      <c r="Y68" s="28"/>
      <c r="Z68" s="28"/>
      <c r="AA68" s="27"/>
      <c r="AB68" s="28"/>
      <c r="AC68" s="28"/>
      <c r="AD68" s="28"/>
      <c r="AE68" s="28"/>
      <c r="AF68" s="32" t="s">
        <v>6</v>
      </c>
      <c r="AG68" s="28"/>
      <c r="AH68" s="38"/>
      <c r="AI68" s="43">
        <f>SUM(AF66:AK66)</f>
        <v>8</v>
      </c>
      <c r="AJ68" s="28"/>
      <c r="AK68" s="30"/>
    </row>
  </sheetData>
  <mergeCells count="19">
    <mergeCell ref="A60:C60"/>
    <mergeCell ref="A59:C59"/>
    <mergeCell ref="D50:N50"/>
    <mergeCell ref="D45:N45"/>
    <mergeCell ref="D55:I58"/>
    <mergeCell ref="D59:I59"/>
    <mergeCell ref="D60:I60"/>
    <mergeCell ref="D46:N46"/>
    <mergeCell ref="D47:N47"/>
    <mergeCell ref="D48:N48"/>
    <mergeCell ref="A66:C66"/>
    <mergeCell ref="D68:F68"/>
    <mergeCell ref="G68:I68"/>
    <mergeCell ref="A61:C61"/>
    <mergeCell ref="D61:I61"/>
    <mergeCell ref="A62:C62"/>
    <mergeCell ref="D62:I62"/>
    <mergeCell ref="A63:C63"/>
    <mergeCell ref="D63:I63"/>
  </mergeCells>
  <phoneticPr fontId="16"/>
  <printOptions verticalCentered="1" gridLinesSet="0"/>
  <pageMargins left="0.59055118110236227" right="0.31496062992125984" top="0.39370078740157483" bottom="0.39370078740157483" header="0.51181102362204722" footer="0.39370078740157483"/>
  <pageSetup paperSize="9" scale="74" orientation="portrait" horizontalDpi="4294967292" verticalDpi="4294967292" r:id="rId1"/>
  <headerFooter alignWithMargins="0">
    <oddFooter>&amp;R&amp;"ＭＳ 明朝,斜体"&amp;8All Rights Reserved,Copy Right 2002,Hitachi Software Engineering Co.,Ltd.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Line="0" autoPict="0" macro="[0]!リスト5_Change">
                <anchor moveWithCells="1" sizeWithCells="1">
                  <from>
                    <xdr:col>0</xdr:col>
                    <xdr:colOff>76200</xdr:colOff>
                    <xdr:row>68</xdr:row>
                    <xdr:rowOff>114300</xdr:rowOff>
                  </from>
                  <to>
                    <xdr:col>5</xdr:col>
                    <xdr:colOff>142875</xdr:colOff>
                    <xdr:row>70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Line="0" autoPict="0" macro="[0]!DrawCheck.DrawCheck">
                <anchor moveWithCells="1" sizeWithCells="1">
                  <from>
                    <xdr:col>11</xdr:col>
                    <xdr:colOff>180975</xdr:colOff>
                    <xdr:row>1</xdr:row>
                    <xdr:rowOff>762000</xdr:rowOff>
                  </from>
                  <to>
                    <xdr:col>13</xdr:col>
                    <xdr:colOff>476250</xdr:colOff>
                    <xdr:row>1</xdr:row>
                    <xdr:rowOff>1066800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1" r:id="rId6" name="Button 3">
              <controlPr defaultSize="0" print="0" autoFill="0" autoLine="0" autoPict="0" macro="[0]!Cancel_Click">
                <anchor moveWithCells="1" sizeWithCells="1">
                  <from>
                    <xdr:col>11</xdr:col>
                    <xdr:colOff>180975</xdr:colOff>
                    <xdr:row>1</xdr:row>
                    <xdr:rowOff>419100</xdr:rowOff>
                  </from>
                  <to>
                    <xdr:col>13</xdr:col>
                    <xdr:colOff>476250</xdr:colOff>
                    <xdr:row>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2" r:id="rId7" name="Button 4">
              <controlPr defaultSize="0" print="0" autoFill="0" autoLine="0" autoPict="0" macro="[0]!ボタン41_Click">
                <anchor moveWithCells="1" sizeWithCells="1">
                  <from>
                    <xdr:col>1</xdr:col>
                    <xdr:colOff>0</xdr:colOff>
                    <xdr:row>1</xdr:row>
                    <xdr:rowOff>1000125</xdr:rowOff>
                  </from>
                  <to>
                    <xdr:col>4</xdr:col>
                    <xdr:colOff>133350</xdr:colOff>
                    <xdr:row>1</xdr:row>
                    <xdr:rowOff>1352550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3" r:id="rId8" name="Button 5">
              <controlPr defaultSize="0" print="0" autoFill="0" autoLine="0" autoPict="0" macro="[0]!ENTER_A">
                <anchor moveWithCells="1" sizeWithCells="1">
                  <from>
                    <xdr:col>10</xdr:col>
                    <xdr:colOff>209550</xdr:colOff>
                    <xdr:row>1</xdr:row>
                    <xdr:rowOff>1257300</xdr:rowOff>
                  </from>
                  <to>
                    <xdr:col>12</xdr:col>
                    <xdr:colOff>38100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4" r:id="rId9" name="Button 6">
              <controlPr defaultSize="0" print="0" autoFill="0" autoLine="0" autoPict="0" macro="[0]!ENTER_B">
                <anchor moveWithCells="1" sizeWithCells="1">
                  <from>
                    <xdr:col>12</xdr:col>
                    <xdr:colOff>47625</xdr:colOff>
                    <xdr:row>1</xdr:row>
                    <xdr:rowOff>1257300</xdr:rowOff>
                  </from>
                  <to>
                    <xdr:col>13</xdr:col>
                    <xdr:colOff>142875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5" r:id="rId10" name="Button 7">
              <controlPr defaultSize="0" print="0" autoFill="0" autoLine="0" autoPict="0" macro="[0]!ENTER_C">
                <anchor moveWithCells="1" sizeWithCells="1">
                  <from>
                    <xdr:col>13</xdr:col>
                    <xdr:colOff>161925</xdr:colOff>
                    <xdr:row>1</xdr:row>
                    <xdr:rowOff>1257300</xdr:rowOff>
                  </from>
                  <to>
                    <xdr:col>13</xdr:col>
                    <xdr:colOff>485775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6" r:id="rId11" name="Button 8">
              <controlPr defaultSize="0" print="0" autoFill="0" autoLine="0" autoPict="0" macro="[0]!ENTER_N">
                <anchor moveWithCells="1" sizeWithCells="1">
                  <from>
                    <xdr:col>9</xdr:col>
                    <xdr:colOff>95250</xdr:colOff>
                    <xdr:row>1</xdr:row>
                    <xdr:rowOff>1257300</xdr:rowOff>
                  </from>
                  <to>
                    <xdr:col>10</xdr:col>
                    <xdr:colOff>200025</xdr:colOff>
                    <xdr:row>1</xdr:row>
                    <xdr:rowOff>1524000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3954C-81FF-437F-A913-AD0E86F84131}">
  <sheetPr codeName="Sheet48">
    <pageSetUpPr fitToPage="1"/>
  </sheetPr>
  <dimension ref="A1:AO65"/>
  <sheetViews>
    <sheetView showGridLines="0" showOutlineSymbols="0" defaultGridColor="0" colorId="8" zoomScaleNormal="100" workbookViewId="0">
      <pane xSplit="14" ySplit="2" topLeftCell="O3" activePane="bottomRight" state="frozen"/>
      <selection activeCell="I22" sqref="I22"/>
      <selection pane="topRight" activeCell="I22" sqref="I22"/>
      <selection pane="bottomLeft" activeCell="I22" sqref="I22"/>
      <selection pane="bottomRight" activeCell="D5" sqref="D5"/>
    </sheetView>
  </sheetViews>
  <sheetFormatPr defaultColWidth="9.140625" defaultRowHeight="15" customHeight="1"/>
  <cols>
    <col min="1" max="13" width="3.5703125" style="5" customWidth="1"/>
    <col min="14" max="14" width="11.85546875" style="31" customWidth="1"/>
    <col min="15" max="238" width="3.5703125" style="5" customWidth="1"/>
    <col min="239" max="16384" width="9.140625" style="5"/>
  </cols>
  <sheetData>
    <row r="1" spans="1:41" ht="24.95" customHeight="1">
      <c r="A1" s="66" t="s">
        <v>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74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6"/>
    </row>
    <row r="2" spans="1:41" s="9" customFormat="1" ht="135" customHeight="1">
      <c r="A2" s="6"/>
      <c r="N2" s="58"/>
      <c r="O2" s="117" t="s">
        <v>187</v>
      </c>
      <c r="P2" s="117" t="s">
        <v>188</v>
      </c>
      <c r="Q2" s="117" t="s">
        <v>189</v>
      </c>
      <c r="R2" s="117" t="s">
        <v>190</v>
      </c>
      <c r="S2" s="117" t="s">
        <v>191</v>
      </c>
      <c r="T2" s="117" t="s">
        <v>192</v>
      </c>
      <c r="U2" s="117" t="s">
        <v>193</v>
      </c>
      <c r="V2" s="117" t="s">
        <v>194</v>
      </c>
      <c r="W2" s="67" t="s">
        <v>195</v>
      </c>
      <c r="X2" s="67" t="s">
        <v>196</v>
      </c>
      <c r="Y2" s="67" t="s">
        <v>197</v>
      </c>
      <c r="Z2" s="67" t="s">
        <v>198</v>
      </c>
      <c r="AA2" s="67" t="s">
        <v>199</v>
      </c>
      <c r="AB2" s="67" t="s">
        <v>200</v>
      </c>
      <c r="AC2" s="67" t="s">
        <v>201</v>
      </c>
      <c r="AD2" s="67" t="s">
        <v>202</v>
      </c>
      <c r="AE2" s="64" t="s">
        <v>203</v>
      </c>
      <c r="AF2" s="64" t="s">
        <v>204</v>
      </c>
      <c r="AG2" s="64"/>
      <c r="AH2" s="64"/>
      <c r="AI2" s="64"/>
      <c r="AJ2" s="64"/>
      <c r="AK2" s="65"/>
      <c r="AL2" s="7"/>
      <c r="AM2" s="8"/>
      <c r="AN2" s="7"/>
    </row>
    <row r="3" spans="1:41" ht="15" customHeight="1">
      <c r="A3" s="55"/>
      <c r="B3" s="80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8"/>
      <c r="O3" s="119"/>
      <c r="P3" s="119"/>
      <c r="Q3" s="119"/>
      <c r="R3" s="118"/>
      <c r="S3" s="119"/>
      <c r="T3" s="119"/>
      <c r="U3" s="119"/>
      <c r="V3" s="118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3"/>
    </row>
    <row r="4" spans="1:41" ht="15" customHeight="1">
      <c r="A4" s="56"/>
      <c r="B4" s="96" t="s">
        <v>125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8"/>
      <c r="O4" s="119"/>
      <c r="P4" s="119"/>
      <c r="Q4" s="119"/>
      <c r="R4" s="119"/>
      <c r="S4" s="119"/>
      <c r="T4" s="119"/>
      <c r="U4" s="119"/>
      <c r="V4" s="119"/>
      <c r="W4" s="57"/>
      <c r="X4" s="57"/>
      <c r="Y4" s="52"/>
      <c r="Z4" s="57"/>
      <c r="AA4" s="57"/>
      <c r="AB4" s="57"/>
      <c r="AC4" s="57"/>
      <c r="AD4" s="52"/>
      <c r="AE4" s="57"/>
      <c r="AF4" s="57"/>
      <c r="AG4" s="57"/>
      <c r="AH4" s="52"/>
      <c r="AI4" s="52"/>
      <c r="AJ4" s="52"/>
      <c r="AK4" s="53"/>
      <c r="AM4" s="120"/>
      <c r="AN4" s="120"/>
      <c r="AO4" s="116" t="s">
        <v>123</v>
      </c>
    </row>
    <row r="5" spans="1:41" ht="15" customHeight="1">
      <c r="A5" s="91"/>
      <c r="B5" s="59"/>
      <c r="C5" s="96" t="s">
        <v>71</v>
      </c>
      <c r="D5" s="97"/>
      <c r="E5" s="97"/>
      <c r="F5" s="97"/>
      <c r="G5" s="97"/>
      <c r="H5" s="97"/>
      <c r="I5" s="97"/>
      <c r="J5" s="97"/>
      <c r="K5" s="97"/>
      <c r="L5" s="97"/>
      <c r="M5" s="97"/>
      <c r="N5" s="98"/>
      <c r="O5" s="119"/>
      <c r="P5" s="119"/>
      <c r="Q5" s="119"/>
      <c r="R5" s="119"/>
      <c r="S5" s="119"/>
      <c r="T5" s="119"/>
      <c r="U5" s="119"/>
      <c r="V5" s="119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2"/>
      <c r="AH5" s="52"/>
      <c r="AI5" s="52"/>
      <c r="AJ5" s="52"/>
      <c r="AK5" s="53"/>
      <c r="AM5" s="116" t="s">
        <v>124</v>
      </c>
    </row>
    <row r="6" spans="1:41" ht="15" customHeight="1">
      <c r="A6" s="56"/>
      <c r="B6" s="79"/>
      <c r="C6" s="79"/>
      <c r="D6" s="92" t="s">
        <v>103</v>
      </c>
      <c r="E6" s="93"/>
      <c r="F6" s="93"/>
      <c r="G6" s="93"/>
      <c r="H6" s="93"/>
      <c r="I6" s="93"/>
      <c r="J6" s="93"/>
      <c r="K6" s="93"/>
      <c r="L6" s="93"/>
      <c r="M6" s="93"/>
      <c r="N6" s="94"/>
      <c r="O6" s="119" t="s">
        <v>83</v>
      </c>
      <c r="P6" s="119" t="s">
        <v>83</v>
      </c>
      <c r="Q6" s="119" t="s">
        <v>83</v>
      </c>
      <c r="R6" s="119" t="s">
        <v>83</v>
      </c>
      <c r="S6" s="119" t="s">
        <v>83</v>
      </c>
      <c r="T6" s="119" t="s">
        <v>83</v>
      </c>
      <c r="U6" s="119" t="s">
        <v>83</v>
      </c>
      <c r="V6" s="119" t="s">
        <v>83</v>
      </c>
      <c r="W6" s="57" t="s">
        <v>83</v>
      </c>
      <c r="X6" s="57" t="s">
        <v>83</v>
      </c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2"/>
      <c r="AJ6" s="52"/>
      <c r="AK6" s="53"/>
    </row>
    <row r="7" spans="1:41" ht="15" customHeight="1">
      <c r="A7" s="56" t="s">
        <v>49</v>
      </c>
      <c r="B7" s="96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8"/>
      <c r="O7" s="119"/>
      <c r="P7" s="119"/>
      <c r="Q7" s="118"/>
      <c r="R7" s="119"/>
      <c r="S7" s="119"/>
      <c r="T7" s="119"/>
      <c r="U7" s="118"/>
      <c r="V7" s="119"/>
      <c r="W7" s="52"/>
      <c r="X7" s="52"/>
      <c r="Y7" s="52"/>
      <c r="Z7" s="52"/>
      <c r="AA7" s="57"/>
      <c r="AB7" s="57"/>
      <c r="AC7" s="52"/>
      <c r="AD7" s="57"/>
      <c r="AE7" s="57"/>
      <c r="AF7" s="52"/>
      <c r="AG7" s="52"/>
      <c r="AH7" s="52"/>
      <c r="AI7" s="52"/>
      <c r="AJ7" s="52"/>
      <c r="AK7" s="53"/>
    </row>
    <row r="8" spans="1:41" ht="15" customHeight="1">
      <c r="A8" s="56" t="s">
        <v>8</v>
      </c>
      <c r="B8" s="96" t="s">
        <v>72</v>
      </c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8"/>
      <c r="O8" s="119"/>
      <c r="P8" s="119"/>
      <c r="Q8" s="118"/>
      <c r="R8" s="119"/>
      <c r="S8" s="119"/>
      <c r="T8" s="119"/>
      <c r="U8" s="118"/>
      <c r="V8" s="119"/>
      <c r="W8" s="52"/>
      <c r="X8" s="52"/>
      <c r="Y8" s="57"/>
      <c r="Z8" s="57"/>
      <c r="AA8" s="57"/>
      <c r="AB8" s="57"/>
      <c r="AC8" s="52"/>
      <c r="AD8" s="57"/>
      <c r="AE8" s="57"/>
      <c r="AF8" s="57"/>
      <c r="AG8" s="52"/>
      <c r="AH8" s="57"/>
      <c r="AI8" s="52"/>
      <c r="AJ8" s="52"/>
      <c r="AK8" s="53"/>
    </row>
    <row r="9" spans="1:41" ht="15" customHeight="1">
      <c r="A9" s="56" t="s">
        <v>42</v>
      </c>
      <c r="B9" s="80"/>
      <c r="C9" s="96" t="s">
        <v>53</v>
      </c>
      <c r="D9" s="97"/>
      <c r="E9" s="97"/>
      <c r="F9" s="97"/>
      <c r="G9" s="97"/>
      <c r="H9" s="97"/>
      <c r="I9" s="97"/>
      <c r="J9" s="97"/>
      <c r="K9" s="97"/>
      <c r="L9" s="97"/>
      <c r="M9" s="97"/>
      <c r="N9" s="98"/>
      <c r="O9" s="119"/>
      <c r="P9" s="119"/>
      <c r="Q9" s="119"/>
      <c r="R9" s="119"/>
      <c r="S9" s="119"/>
      <c r="T9" s="118"/>
      <c r="U9" s="119"/>
      <c r="V9" s="119"/>
      <c r="W9" s="57"/>
      <c r="X9" s="52"/>
      <c r="Y9" s="57"/>
      <c r="Z9" s="57"/>
      <c r="AA9" s="57"/>
      <c r="AB9" s="52"/>
      <c r="AC9" s="57"/>
      <c r="AD9" s="52"/>
      <c r="AE9" s="57"/>
      <c r="AF9" s="57"/>
      <c r="AG9" s="57"/>
      <c r="AH9" s="57"/>
      <c r="AI9" s="52"/>
      <c r="AJ9" s="52"/>
      <c r="AK9" s="17"/>
    </row>
    <row r="10" spans="1:41" ht="15" customHeight="1">
      <c r="A10" s="56" t="s">
        <v>9</v>
      </c>
      <c r="B10" s="80"/>
      <c r="C10" s="99"/>
      <c r="D10" s="92" t="s">
        <v>54</v>
      </c>
      <c r="E10" s="93"/>
      <c r="F10" s="93"/>
      <c r="G10" s="93"/>
      <c r="H10" s="93"/>
      <c r="I10" s="93"/>
      <c r="J10" s="93"/>
      <c r="K10" s="93"/>
      <c r="L10" s="93"/>
      <c r="M10" s="93"/>
      <c r="N10" s="94"/>
      <c r="O10" s="119" t="s">
        <v>83</v>
      </c>
      <c r="P10" s="119" t="s">
        <v>83</v>
      </c>
      <c r="Q10" s="119" t="s">
        <v>83</v>
      </c>
      <c r="R10" s="119" t="s">
        <v>83</v>
      </c>
      <c r="S10" s="119" t="s">
        <v>83</v>
      </c>
      <c r="T10" s="119" t="s">
        <v>83</v>
      </c>
      <c r="U10" s="119" t="s">
        <v>83</v>
      </c>
      <c r="V10" s="119" t="s">
        <v>83</v>
      </c>
      <c r="W10" s="52"/>
      <c r="X10" s="52"/>
      <c r="Y10" s="52"/>
      <c r="Z10" s="52"/>
      <c r="AA10" s="52"/>
      <c r="AB10" s="52"/>
      <c r="AC10" s="57"/>
      <c r="AD10" s="52"/>
      <c r="AE10" s="57"/>
      <c r="AF10" s="57"/>
      <c r="AG10" s="57"/>
      <c r="AH10" s="57"/>
      <c r="AI10" s="52"/>
      <c r="AJ10" s="52"/>
      <c r="AK10" s="17"/>
    </row>
    <row r="11" spans="1:41" ht="15" customHeight="1">
      <c r="A11" s="56" t="s">
        <v>10</v>
      </c>
      <c r="B11" s="80"/>
      <c r="C11" s="99"/>
      <c r="D11" s="77" t="s">
        <v>79</v>
      </c>
      <c r="E11" s="77"/>
      <c r="F11" s="77"/>
      <c r="G11" s="77"/>
      <c r="H11" s="77"/>
      <c r="I11" s="77"/>
      <c r="J11" s="77"/>
      <c r="K11" s="77"/>
      <c r="L11" s="77"/>
      <c r="M11" s="77"/>
      <c r="N11" s="78"/>
      <c r="O11" s="119"/>
      <c r="P11" s="119"/>
      <c r="Q11" s="119"/>
      <c r="R11" s="119"/>
      <c r="S11" s="119"/>
      <c r="T11" s="118"/>
      <c r="U11" s="118"/>
      <c r="V11" s="118"/>
      <c r="W11" s="57" t="s">
        <v>83</v>
      </c>
      <c r="X11" s="57"/>
      <c r="Y11" s="52"/>
      <c r="Z11" s="52"/>
      <c r="AA11" s="52"/>
      <c r="AB11" s="52"/>
      <c r="AC11" s="57"/>
      <c r="AD11" s="52"/>
      <c r="AE11" s="57"/>
      <c r="AF11" s="57"/>
      <c r="AG11" s="57"/>
      <c r="AH11" s="57"/>
      <c r="AI11" s="52"/>
      <c r="AJ11" s="52"/>
      <c r="AK11" s="17"/>
    </row>
    <row r="12" spans="1:41" ht="15" customHeight="1">
      <c r="A12" s="56" t="s">
        <v>11</v>
      </c>
      <c r="B12" s="95"/>
      <c r="C12" s="95"/>
      <c r="D12" s="92" t="s">
        <v>80</v>
      </c>
      <c r="E12" s="93"/>
      <c r="F12" s="93"/>
      <c r="G12" s="93"/>
      <c r="H12" s="93"/>
      <c r="I12" s="93"/>
      <c r="J12" s="93"/>
      <c r="K12" s="93"/>
      <c r="L12" s="93"/>
      <c r="M12" s="93"/>
      <c r="N12" s="94"/>
      <c r="O12" s="119"/>
      <c r="P12" s="119"/>
      <c r="Q12" s="119"/>
      <c r="R12" s="119"/>
      <c r="S12" s="119"/>
      <c r="T12" s="118"/>
      <c r="U12" s="118"/>
      <c r="V12" s="118"/>
      <c r="W12" s="52"/>
      <c r="X12" s="57" t="s">
        <v>83</v>
      </c>
      <c r="Y12" s="57"/>
      <c r="Z12" s="57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17"/>
    </row>
    <row r="13" spans="1:41" ht="15" customHeight="1">
      <c r="A13" s="56"/>
      <c r="B13" s="80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119"/>
      <c r="P13" s="119"/>
      <c r="Q13" s="119"/>
      <c r="R13" s="119"/>
      <c r="S13" s="119"/>
      <c r="T13" s="119"/>
      <c r="U13" s="119"/>
      <c r="V13" s="119"/>
      <c r="W13" s="57"/>
      <c r="X13" s="52"/>
      <c r="Y13" s="57"/>
      <c r="Z13" s="52"/>
      <c r="AA13" s="57"/>
      <c r="AB13" s="52"/>
      <c r="AC13" s="57"/>
      <c r="AD13" s="52"/>
      <c r="AE13" s="57"/>
      <c r="AF13" s="57"/>
      <c r="AG13" s="57"/>
      <c r="AH13" s="57"/>
      <c r="AI13" s="52"/>
      <c r="AJ13" s="52"/>
      <c r="AK13" s="17"/>
    </row>
    <row r="14" spans="1:41" ht="15" customHeight="1">
      <c r="A14" s="56"/>
      <c r="B14" s="96" t="s">
        <v>113</v>
      </c>
      <c r="C14" s="96"/>
      <c r="D14" s="96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19"/>
      <c r="P14" s="119"/>
      <c r="Q14" s="119"/>
      <c r="R14" s="119"/>
      <c r="S14" s="119"/>
      <c r="T14" s="119"/>
      <c r="U14" s="119"/>
      <c r="V14" s="119"/>
      <c r="W14" s="57"/>
      <c r="X14" s="57"/>
      <c r="Y14" s="57"/>
      <c r="Z14" s="57"/>
      <c r="AA14" s="57"/>
      <c r="AB14" s="57"/>
      <c r="AC14" s="52"/>
      <c r="AD14" s="52"/>
      <c r="AE14" s="57"/>
      <c r="AF14" s="57"/>
      <c r="AG14" s="52"/>
      <c r="AH14" s="52"/>
      <c r="AI14" s="52"/>
      <c r="AJ14" s="52"/>
      <c r="AK14" s="53"/>
    </row>
    <row r="15" spans="1:41" ht="15" customHeight="1">
      <c r="B15" s="80"/>
      <c r="C15" s="92" t="s">
        <v>114</v>
      </c>
      <c r="D15" s="92"/>
      <c r="E15" s="93"/>
      <c r="F15" s="93"/>
      <c r="G15" s="93"/>
      <c r="H15" s="93"/>
      <c r="I15" s="93"/>
      <c r="J15" s="93"/>
      <c r="K15" s="93"/>
      <c r="L15" s="93"/>
      <c r="M15" s="93"/>
      <c r="N15" s="94"/>
      <c r="O15" s="119" t="s">
        <v>83</v>
      </c>
      <c r="P15" s="119" t="s">
        <v>83</v>
      </c>
      <c r="Q15" s="119" t="s">
        <v>83</v>
      </c>
      <c r="R15" s="119" t="s">
        <v>83</v>
      </c>
      <c r="S15" s="119" t="s">
        <v>83</v>
      </c>
      <c r="T15" s="119" t="s">
        <v>83</v>
      </c>
      <c r="U15" s="119" t="s">
        <v>83</v>
      </c>
      <c r="V15" s="119" t="s">
        <v>83</v>
      </c>
      <c r="W15" s="57" t="s">
        <v>83</v>
      </c>
      <c r="X15" s="57" t="s">
        <v>83</v>
      </c>
      <c r="Y15" s="57"/>
      <c r="Z15" s="57"/>
      <c r="AA15" s="57"/>
      <c r="AB15" s="57"/>
      <c r="AC15" s="52"/>
      <c r="AD15" s="52"/>
      <c r="AE15" s="57"/>
      <c r="AF15" s="57"/>
      <c r="AG15" s="52"/>
      <c r="AH15" s="52"/>
      <c r="AI15" s="52"/>
      <c r="AJ15" s="52"/>
      <c r="AK15" s="53"/>
    </row>
    <row r="16" spans="1:41" ht="15" customHeight="1">
      <c r="B16" s="96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8"/>
      <c r="O16" s="119"/>
      <c r="P16" s="119"/>
      <c r="Q16" s="119"/>
      <c r="R16" s="118"/>
      <c r="S16" s="119"/>
      <c r="T16" s="119"/>
      <c r="U16" s="119"/>
      <c r="V16" s="119"/>
      <c r="W16" s="57"/>
      <c r="X16" s="52"/>
      <c r="Y16" s="57"/>
      <c r="Z16" s="57"/>
      <c r="AA16" s="57"/>
      <c r="AB16" s="57"/>
      <c r="AC16" s="52"/>
      <c r="AD16" s="52"/>
      <c r="AE16" s="57"/>
      <c r="AF16" s="57"/>
      <c r="AG16" s="52"/>
      <c r="AH16" s="52"/>
      <c r="AI16" s="52"/>
      <c r="AJ16" s="52"/>
      <c r="AK16" s="53"/>
    </row>
    <row r="17" spans="1:37" ht="15" customHeight="1">
      <c r="A17" s="56"/>
      <c r="B17" s="96" t="s">
        <v>104</v>
      </c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8"/>
      <c r="O17" s="119"/>
      <c r="P17" s="119"/>
      <c r="Q17" s="119"/>
      <c r="R17" s="119"/>
      <c r="S17" s="119"/>
      <c r="T17" s="119"/>
      <c r="U17" s="119"/>
      <c r="V17" s="119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2"/>
      <c r="AJ17" s="52"/>
      <c r="AK17" s="53"/>
    </row>
    <row r="18" spans="1:37" ht="15" customHeight="1">
      <c r="A18" s="56"/>
      <c r="B18" s="80"/>
      <c r="C18" s="142" t="s">
        <v>109</v>
      </c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4"/>
      <c r="O18" s="145"/>
      <c r="P18" s="145"/>
      <c r="Q18" s="146"/>
      <c r="R18" s="145"/>
      <c r="S18" s="145"/>
      <c r="T18" s="145"/>
      <c r="U18" s="146"/>
      <c r="V18" s="145"/>
      <c r="W18" s="146"/>
      <c r="X18" s="146"/>
      <c r="Y18" s="145"/>
      <c r="Z18" s="146"/>
      <c r="AA18" s="145"/>
      <c r="AB18" s="145"/>
      <c r="AC18" s="145"/>
      <c r="AD18" s="146"/>
      <c r="AE18" s="146"/>
      <c r="AF18" s="146"/>
      <c r="AG18" s="146"/>
      <c r="AH18" s="146"/>
      <c r="AI18" s="146"/>
      <c r="AJ18" s="146"/>
      <c r="AK18" s="147"/>
    </row>
    <row r="19" spans="1:37" ht="15" customHeight="1">
      <c r="A19" s="56"/>
      <c r="B19" s="80"/>
      <c r="C19" s="142" t="s">
        <v>122</v>
      </c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4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6"/>
      <c r="AE19" s="145"/>
      <c r="AF19" s="145"/>
      <c r="AG19" s="145"/>
      <c r="AH19" s="146"/>
      <c r="AI19" s="146"/>
      <c r="AJ19" s="146"/>
      <c r="AK19" s="147"/>
    </row>
    <row r="20" spans="1:37" ht="15" customHeight="1">
      <c r="A20" s="56"/>
      <c r="B20" s="80"/>
      <c r="C20" s="80" t="s">
        <v>110</v>
      </c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8"/>
      <c r="O20" s="119" t="s">
        <v>83</v>
      </c>
      <c r="P20" s="119" t="s">
        <v>83</v>
      </c>
      <c r="Q20" s="119"/>
      <c r="R20" s="119"/>
      <c r="S20" s="119"/>
      <c r="T20" s="119"/>
      <c r="U20" s="119"/>
      <c r="V20" s="119"/>
      <c r="W20" s="57" t="s">
        <v>83</v>
      </c>
      <c r="X20" s="57" t="s">
        <v>83</v>
      </c>
      <c r="Y20" s="57"/>
      <c r="Z20" s="57"/>
      <c r="AA20" s="57"/>
      <c r="AB20" s="57"/>
      <c r="AC20" s="57"/>
      <c r="AD20" s="57"/>
      <c r="AE20" s="57"/>
      <c r="AF20" s="57"/>
      <c r="AG20" s="52"/>
      <c r="AH20" s="52"/>
      <c r="AI20" s="52"/>
      <c r="AJ20" s="52"/>
      <c r="AK20" s="53"/>
    </row>
    <row r="21" spans="1:37" ht="15" customHeight="1">
      <c r="A21" s="56"/>
      <c r="B21" s="80"/>
      <c r="C21" s="92" t="s">
        <v>111</v>
      </c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4"/>
      <c r="O21" s="119"/>
      <c r="P21" s="119"/>
      <c r="Q21" s="119" t="s">
        <v>83</v>
      </c>
      <c r="R21" s="119" t="s">
        <v>83</v>
      </c>
      <c r="S21" s="119"/>
      <c r="T21" s="119"/>
      <c r="U21" s="119"/>
      <c r="V21" s="119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2"/>
      <c r="AH21" s="52"/>
      <c r="AI21" s="52"/>
      <c r="AJ21" s="52"/>
      <c r="AK21" s="53"/>
    </row>
    <row r="22" spans="1:37" ht="30.75" customHeight="1">
      <c r="A22" s="56"/>
      <c r="B22" s="80"/>
      <c r="C22" s="199" t="s">
        <v>118</v>
      </c>
      <c r="D22" s="200"/>
      <c r="E22" s="200"/>
      <c r="F22" s="200"/>
      <c r="G22" s="200"/>
      <c r="H22" s="200"/>
      <c r="I22" s="200"/>
      <c r="J22" s="200"/>
      <c r="K22" s="200"/>
      <c r="L22" s="200"/>
      <c r="M22" s="200"/>
      <c r="N22" s="201"/>
      <c r="O22" s="119"/>
      <c r="P22" s="119"/>
      <c r="Q22" s="119"/>
      <c r="R22" s="119"/>
      <c r="S22" s="119" t="s">
        <v>83</v>
      </c>
      <c r="T22" s="119" t="s">
        <v>83</v>
      </c>
      <c r="U22" s="119"/>
      <c r="V22" s="119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2"/>
      <c r="AH22" s="52"/>
      <c r="AI22" s="52"/>
      <c r="AJ22" s="52"/>
      <c r="AK22" s="53"/>
    </row>
    <row r="23" spans="1:37" ht="30" customHeight="1">
      <c r="A23" s="56"/>
      <c r="B23" s="79"/>
      <c r="C23" s="181" t="s">
        <v>119</v>
      </c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3"/>
      <c r="O23" s="119"/>
      <c r="P23" s="119"/>
      <c r="Q23" s="119"/>
      <c r="R23" s="119"/>
      <c r="S23" s="119"/>
      <c r="T23" s="119"/>
      <c r="U23" s="119" t="s">
        <v>83</v>
      </c>
      <c r="V23" s="119" t="s">
        <v>83</v>
      </c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2"/>
      <c r="AH23" s="52"/>
      <c r="AI23" s="52"/>
      <c r="AJ23" s="52"/>
      <c r="AK23" s="53"/>
    </row>
    <row r="24" spans="1:37" ht="15" customHeight="1"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2"/>
      <c r="O24" s="119"/>
      <c r="P24" s="119"/>
      <c r="Q24" s="118"/>
      <c r="R24" s="118"/>
      <c r="S24" s="119"/>
      <c r="T24" s="119"/>
      <c r="U24" s="119"/>
      <c r="V24" s="119"/>
      <c r="W24" s="52"/>
      <c r="X24" s="52"/>
      <c r="Y24" s="57"/>
      <c r="Z24" s="57"/>
      <c r="AA24" s="57"/>
      <c r="AB24" s="57"/>
      <c r="AC24" s="57"/>
      <c r="AD24" s="52"/>
      <c r="AE24" s="57"/>
      <c r="AF24" s="57"/>
      <c r="AG24" s="57"/>
      <c r="AH24" s="52"/>
      <c r="AI24" s="52"/>
      <c r="AJ24" s="52"/>
      <c r="AK24" s="53"/>
    </row>
    <row r="25" spans="1:37" ht="15" customHeight="1">
      <c r="A25" s="102"/>
      <c r="B25" s="96" t="s">
        <v>117</v>
      </c>
      <c r="C25" s="139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1"/>
      <c r="O25" s="119"/>
      <c r="P25" s="119"/>
      <c r="Q25" s="119"/>
      <c r="R25" s="119"/>
      <c r="S25" s="119"/>
      <c r="T25" s="119"/>
      <c r="U25" s="119"/>
      <c r="V25" s="119"/>
      <c r="W25" s="57"/>
      <c r="X25" s="57"/>
      <c r="Y25" s="57"/>
      <c r="Z25" s="57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17"/>
    </row>
    <row r="26" spans="1:37" ht="15" customHeight="1">
      <c r="A26" s="56"/>
      <c r="B26" s="13"/>
      <c r="C26" s="204" t="s">
        <v>116</v>
      </c>
      <c r="D26" s="205"/>
      <c r="E26" s="205"/>
      <c r="F26" s="205"/>
      <c r="G26" s="205"/>
      <c r="H26" s="205"/>
      <c r="I26" s="205"/>
      <c r="J26" s="205"/>
      <c r="K26" s="205"/>
      <c r="L26" s="205"/>
      <c r="M26" s="205"/>
      <c r="N26" s="206"/>
      <c r="O26" s="119" t="s">
        <v>83</v>
      </c>
      <c r="P26" s="119" t="s">
        <v>83</v>
      </c>
      <c r="Q26" s="119" t="s">
        <v>83</v>
      </c>
      <c r="R26" s="119" t="s">
        <v>83</v>
      </c>
      <c r="S26" s="119" t="s">
        <v>83</v>
      </c>
      <c r="T26" s="119" t="s">
        <v>83</v>
      </c>
      <c r="U26" s="119" t="s">
        <v>83</v>
      </c>
      <c r="V26" s="119" t="s">
        <v>83</v>
      </c>
      <c r="W26" s="57" t="s">
        <v>83</v>
      </c>
      <c r="X26" s="57" t="s">
        <v>83</v>
      </c>
      <c r="Y26" s="57" t="s">
        <v>83</v>
      </c>
      <c r="Z26" s="57" t="s">
        <v>83</v>
      </c>
      <c r="AA26" s="57" t="s">
        <v>83</v>
      </c>
      <c r="AB26" s="57" t="s">
        <v>83</v>
      </c>
      <c r="AC26" s="57" t="s">
        <v>83</v>
      </c>
      <c r="AD26" s="57" t="s">
        <v>83</v>
      </c>
      <c r="AE26" s="57" t="s">
        <v>83</v>
      </c>
      <c r="AF26" s="57" t="s">
        <v>83</v>
      </c>
      <c r="AG26" s="52"/>
      <c r="AH26" s="52"/>
      <c r="AI26" s="52"/>
      <c r="AJ26" s="52"/>
      <c r="AK26" s="17"/>
    </row>
    <row r="27" spans="1:37" ht="15" customHeight="1">
      <c r="A27" s="56"/>
      <c r="B27" s="79"/>
      <c r="C27" s="207"/>
      <c r="D27" s="207"/>
      <c r="E27" s="207"/>
      <c r="F27" s="207"/>
      <c r="G27" s="207"/>
      <c r="H27" s="207"/>
      <c r="I27" s="207"/>
      <c r="J27" s="207"/>
      <c r="K27" s="207"/>
      <c r="L27" s="207"/>
      <c r="M27" s="207"/>
      <c r="N27" s="208"/>
      <c r="O27" s="119"/>
      <c r="P27" s="119"/>
      <c r="Q27" s="119"/>
      <c r="R27" s="119"/>
      <c r="S27" s="119"/>
      <c r="T27" s="119"/>
      <c r="U27" s="119"/>
      <c r="V27" s="119"/>
      <c r="W27" s="57"/>
      <c r="X27" s="52"/>
      <c r="Y27" s="57"/>
      <c r="Z27" s="57"/>
      <c r="AA27" s="57"/>
      <c r="AB27" s="57"/>
      <c r="AC27" s="52"/>
      <c r="AD27" s="57"/>
      <c r="AE27" s="52"/>
      <c r="AF27" s="52"/>
      <c r="AG27" s="52"/>
      <c r="AH27" s="52"/>
      <c r="AI27" s="52"/>
      <c r="AJ27" s="52"/>
      <c r="AK27" s="17"/>
    </row>
    <row r="28" spans="1:37" ht="15" customHeight="1">
      <c r="B28" s="96" t="s">
        <v>73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4"/>
      <c r="O28" s="119"/>
      <c r="P28" s="119"/>
      <c r="Q28" s="119"/>
      <c r="R28" s="119"/>
      <c r="S28" s="119"/>
      <c r="T28" s="119"/>
      <c r="U28" s="119"/>
      <c r="V28" s="119"/>
      <c r="W28" s="57"/>
      <c r="X28" s="57"/>
      <c r="Y28" s="57"/>
      <c r="Z28" s="57"/>
      <c r="AA28" s="57"/>
      <c r="AB28" s="57"/>
      <c r="AC28" s="57"/>
      <c r="AD28" s="52"/>
      <c r="AE28" s="57"/>
      <c r="AF28" s="57"/>
      <c r="AG28" s="57"/>
      <c r="AH28" s="52"/>
      <c r="AI28" s="52"/>
      <c r="AJ28" s="52"/>
      <c r="AK28" s="53"/>
    </row>
    <row r="29" spans="1:37" ht="15" customHeight="1">
      <c r="A29" s="56"/>
      <c r="B29" s="80"/>
      <c r="C29" s="92" t="s">
        <v>74</v>
      </c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4"/>
      <c r="O29" s="119" t="s">
        <v>83</v>
      </c>
      <c r="P29" s="119"/>
      <c r="Q29" s="119" t="s">
        <v>83</v>
      </c>
      <c r="R29" s="119"/>
      <c r="S29" s="119" t="s">
        <v>83</v>
      </c>
      <c r="T29" s="119"/>
      <c r="U29" s="119" t="s">
        <v>83</v>
      </c>
      <c r="V29" s="119"/>
      <c r="W29" s="57" t="s">
        <v>83</v>
      </c>
      <c r="X29" s="57" t="s">
        <v>83</v>
      </c>
      <c r="Y29" s="57"/>
      <c r="Z29" s="57"/>
      <c r="AA29" s="57"/>
      <c r="AB29" s="57"/>
      <c r="AC29" s="57"/>
      <c r="AD29" s="52"/>
      <c r="AE29" s="57"/>
      <c r="AF29" s="57"/>
      <c r="AG29" s="57"/>
      <c r="AH29" s="52"/>
      <c r="AI29" s="52"/>
      <c r="AJ29" s="52"/>
      <c r="AK29" s="53"/>
    </row>
    <row r="30" spans="1:37" ht="15" customHeight="1">
      <c r="A30" s="56"/>
      <c r="B30" s="79"/>
      <c r="C30" s="92" t="s">
        <v>75</v>
      </c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4"/>
      <c r="O30" s="119"/>
      <c r="P30" s="119" t="s">
        <v>83</v>
      </c>
      <c r="Q30" s="119"/>
      <c r="R30" s="119" t="s">
        <v>83</v>
      </c>
      <c r="S30" s="119"/>
      <c r="T30" s="119" t="s">
        <v>83</v>
      </c>
      <c r="U30" s="119"/>
      <c r="V30" s="119" t="s">
        <v>83</v>
      </c>
      <c r="W30" s="57"/>
      <c r="X30" s="57"/>
      <c r="Y30" s="57"/>
      <c r="Z30" s="57"/>
      <c r="AA30" s="57"/>
      <c r="AB30" s="57"/>
      <c r="AC30" s="57"/>
      <c r="AD30" s="52"/>
      <c r="AE30" s="57"/>
      <c r="AF30" s="57"/>
      <c r="AG30" s="57"/>
      <c r="AH30" s="52"/>
      <c r="AI30" s="52"/>
      <c r="AJ30" s="52"/>
      <c r="AK30" s="53"/>
    </row>
    <row r="31" spans="1:37" ht="15" customHeight="1">
      <c r="A31" s="56"/>
      <c r="B31" s="96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19"/>
      <c r="P31" s="119"/>
      <c r="Q31" s="119"/>
      <c r="R31" s="119"/>
      <c r="S31" s="119"/>
      <c r="T31" s="119"/>
      <c r="U31" s="119"/>
      <c r="V31" s="119"/>
      <c r="W31" s="57"/>
      <c r="X31" s="57"/>
      <c r="Y31" s="57"/>
      <c r="Z31" s="57"/>
      <c r="AA31" s="57"/>
      <c r="AB31" s="57"/>
      <c r="AC31" s="57"/>
      <c r="AD31" s="52"/>
      <c r="AE31" s="57"/>
      <c r="AF31" s="57"/>
      <c r="AG31" s="57"/>
      <c r="AH31" s="52"/>
      <c r="AI31" s="52"/>
      <c r="AJ31" s="52"/>
      <c r="AK31" s="53"/>
    </row>
    <row r="32" spans="1:37" ht="15" customHeight="1">
      <c r="A32" s="56"/>
      <c r="B32" s="80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8"/>
      <c r="O32" s="119"/>
      <c r="P32" s="119"/>
      <c r="Q32" s="118"/>
      <c r="R32" s="118"/>
      <c r="S32" s="119"/>
      <c r="T32" s="119"/>
      <c r="U32" s="119"/>
      <c r="V32" s="119"/>
      <c r="W32" s="52"/>
      <c r="X32" s="52"/>
      <c r="Y32" s="57"/>
      <c r="Z32" s="57"/>
      <c r="AA32" s="57"/>
      <c r="AB32" s="57"/>
      <c r="AC32" s="57"/>
      <c r="AD32" s="52"/>
      <c r="AE32" s="57"/>
      <c r="AF32" s="57"/>
      <c r="AG32" s="57"/>
      <c r="AH32" s="52"/>
      <c r="AI32" s="52"/>
      <c r="AJ32" s="52"/>
      <c r="AK32" s="53"/>
    </row>
    <row r="33" spans="1:37" ht="15" customHeight="1">
      <c r="A33" s="103"/>
      <c r="B33" s="79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2"/>
      <c r="O33" s="119"/>
      <c r="P33" s="119"/>
      <c r="Q33" s="119"/>
      <c r="R33" s="119"/>
      <c r="S33" s="119"/>
      <c r="T33" s="119"/>
      <c r="U33" s="119"/>
      <c r="V33" s="119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2"/>
      <c r="AJ33" s="52"/>
      <c r="AK33" s="53"/>
    </row>
    <row r="34" spans="1:37" ht="15" customHeight="1">
      <c r="A34" s="56"/>
      <c r="B34" s="80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8"/>
      <c r="O34" s="119"/>
      <c r="P34" s="119"/>
      <c r="Q34" s="119"/>
      <c r="R34" s="119"/>
      <c r="S34" s="119"/>
      <c r="T34" s="119"/>
      <c r="U34" s="119"/>
      <c r="V34" s="119"/>
      <c r="W34" s="57"/>
      <c r="X34" s="57"/>
      <c r="Y34" s="57"/>
      <c r="Z34" s="52"/>
      <c r="AA34" s="57"/>
      <c r="AB34" s="57"/>
      <c r="AC34" s="52"/>
      <c r="AD34" s="52"/>
      <c r="AE34" s="57"/>
      <c r="AF34" s="57"/>
      <c r="AG34" s="52"/>
      <c r="AH34" s="52"/>
      <c r="AI34" s="52"/>
      <c r="AJ34" s="52"/>
      <c r="AK34" s="17"/>
    </row>
    <row r="35" spans="1:37" ht="15" customHeight="1">
      <c r="A35" s="56"/>
      <c r="B35" s="96" t="s">
        <v>64</v>
      </c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19"/>
      <c r="P35" s="119"/>
      <c r="Q35" s="119"/>
      <c r="R35" s="119"/>
      <c r="S35" s="119"/>
      <c r="T35" s="119"/>
      <c r="U35" s="119"/>
      <c r="V35" s="119"/>
      <c r="W35" s="57"/>
      <c r="X35" s="57"/>
      <c r="Y35" s="57"/>
      <c r="Z35" s="52"/>
      <c r="AA35" s="57"/>
      <c r="AB35" s="57"/>
      <c r="AC35" s="52"/>
      <c r="AD35" s="52"/>
      <c r="AE35" s="57"/>
      <c r="AF35" s="57"/>
      <c r="AG35" s="52"/>
      <c r="AH35" s="52"/>
      <c r="AI35" s="52"/>
      <c r="AJ35" s="52"/>
      <c r="AK35" s="17"/>
    </row>
    <row r="36" spans="1:37" ht="15" customHeight="1">
      <c r="A36" s="56"/>
      <c r="B36" s="95"/>
      <c r="C36" s="92" t="s">
        <v>71</v>
      </c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4"/>
      <c r="O36" s="119" t="s">
        <v>83</v>
      </c>
      <c r="P36" s="119" t="s">
        <v>83</v>
      </c>
      <c r="Q36" s="119" t="s">
        <v>83</v>
      </c>
      <c r="R36" s="119" t="s">
        <v>83</v>
      </c>
      <c r="S36" s="119" t="s">
        <v>83</v>
      </c>
      <c r="T36" s="119" t="s">
        <v>83</v>
      </c>
      <c r="U36" s="119" t="s">
        <v>83</v>
      </c>
      <c r="V36" s="119" t="s">
        <v>83</v>
      </c>
      <c r="W36" s="57" t="s">
        <v>83</v>
      </c>
      <c r="X36" s="57" t="s">
        <v>83</v>
      </c>
      <c r="Y36" s="57"/>
      <c r="Z36" s="57"/>
      <c r="AA36" s="57"/>
      <c r="AB36" s="57"/>
      <c r="AC36" s="52"/>
      <c r="AD36" s="52"/>
      <c r="AE36" s="57"/>
      <c r="AF36" s="57"/>
      <c r="AG36" s="52"/>
      <c r="AH36" s="52"/>
      <c r="AI36" s="52"/>
      <c r="AJ36" s="52"/>
      <c r="AK36" s="17"/>
    </row>
    <row r="37" spans="1:37" ht="15" customHeight="1">
      <c r="A37" s="114" t="s">
        <v>112</v>
      </c>
      <c r="B37" s="96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8"/>
      <c r="O37" s="119"/>
      <c r="P37" s="119"/>
      <c r="Q37" s="119"/>
      <c r="R37" s="119"/>
      <c r="S37" s="119"/>
      <c r="T37" s="119"/>
      <c r="U37" s="119"/>
      <c r="V37" s="119"/>
      <c r="W37" s="57"/>
      <c r="X37" s="57"/>
      <c r="Y37" s="57"/>
      <c r="Z37" s="52"/>
      <c r="AA37" s="57"/>
      <c r="AB37" s="57"/>
      <c r="AC37" s="52"/>
      <c r="AD37" s="52"/>
      <c r="AE37" s="57"/>
      <c r="AF37" s="57"/>
      <c r="AG37" s="52"/>
      <c r="AH37" s="52"/>
      <c r="AI37" s="52"/>
      <c r="AJ37" s="52"/>
      <c r="AK37" s="17"/>
    </row>
    <row r="38" spans="1:37" ht="15" customHeight="1">
      <c r="A38" s="56" t="s">
        <v>13</v>
      </c>
      <c r="B38" s="80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119"/>
      <c r="P38" s="119"/>
      <c r="Q38" s="119"/>
      <c r="R38" s="119"/>
      <c r="S38" s="119"/>
      <c r="T38" s="119"/>
      <c r="U38" s="119"/>
      <c r="V38" s="119"/>
      <c r="W38" s="57"/>
      <c r="X38" s="57"/>
      <c r="Y38" s="57"/>
      <c r="Z38" s="57"/>
      <c r="AA38" s="57"/>
      <c r="AB38" s="57"/>
      <c r="AC38" s="57"/>
      <c r="AD38" s="52"/>
      <c r="AE38" s="52"/>
      <c r="AF38" s="52"/>
      <c r="AG38" s="52"/>
      <c r="AH38" s="52"/>
      <c r="AI38" s="52"/>
      <c r="AJ38" s="52"/>
      <c r="AK38" s="17"/>
    </row>
    <row r="39" spans="1:37" ht="15" customHeight="1">
      <c r="A39" s="104" t="s">
        <v>120</v>
      </c>
      <c r="B39" s="59"/>
      <c r="N39" s="20"/>
      <c r="O39" s="119"/>
      <c r="P39" s="119"/>
      <c r="Q39" s="119"/>
      <c r="R39" s="119"/>
      <c r="S39" s="119"/>
      <c r="T39" s="119"/>
      <c r="U39" s="119"/>
      <c r="V39" s="119"/>
      <c r="W39" s="57"/>
      <c r="X39" s="57"/>
      <c r="Y39" s="57"/>
      <c r="Z39" s="52"/>
      <c r="AA39" s="57"/>
      <c r="AB39" s="57"/>
      <c r="AC39" s="52"/>
      <c r="AD39" s="52"/>
      <c r="AE39" s="57"/>
      <c r="AF39" s="57"/>
      <c r="AG39" s="52"/>
      <c r="AH39" s="52"/>
      <c r="AI39" s="52"/>
      <c r="AJ39" s="52"/>
      <c r="AK39" s="17"/>
    </row>
    <row r="40" spans="1:37" ht="15" customHeight="1">
      <c r="A40" s="56" t="s">
        <v>121</v>
      </c>
      <c r="B40" s="96" t="s">
        <v>78</v>
      </c>
      <c r="C40" s="101"/>
      <c r="D40" s="101"/>
      <c r="E40" s="93"/>
      <c r="F40" s="93"/>
      <c r="G40" s="93"/>
      <c r="H40" s="93"/>
      <c r="I40" s="93"/>
      <c r="J40" s="93"/>
      <c r="K40" s="93"/>
      <c r="L40" s="93"/>
      <c r="M40" s="93"/>
      <c r="N40" s="94"/>
      <c r="O40" s="119"/>
      <c r="P40" s="119"/>
      <c r="Q40" s="119"/>
      <c r="R40" s="119"/>
      <c r="S40" s="119"/>
      <c r="T40" s="119"/>
      <c r="U40" s="119"/>
      <c r="V40" s="119"/>
      <c r="W40" s="57"/>
      <c r="X40" s="57"/>
      <c r="Y40" s="57"/>
      <c r="Z40" s="52"/>
      <c r="AA40" s="57"/>
      <c r="AB40" s="57"/>
      <c r="AC40" s="52"/>
      <c r="AD40" s="52"/>
      <c r="AE40" s="57"/>
      <c r="AF40" s="57"/>
      <c r="AG40" s="52"/>
      <c r="AH40" s="52"/>
      <c r="AI40" s="52"/>
      <c r="AJ40" s="52"/>
      <c r="AK40" s="17"/>
    </row>
    <row r="41" spans="1:37" ht="28.5" customHeight="1">
      <c r="A41" s="104"/>
      <c r="B41" s="80"/>
      <c r="C41" s="181" t="s">
        <v>115</v>
      </c>
      <c r="D41" s="182"/>
      <c r="E41" s="182"/>
      <c r="F41" s="182"/>
      <c r="G41" s="182"/>
      <c r="H41" s="182"/>
      <c r="I41" s="182"/>
      <c r="J41" s="182"/>
      <c r="K41" s="182"/>
      <c r="L41" s="182"/>
      <c r="M41" s="182"/>
      <c r="N41" s="183"/>
      <c r="O41" s="119"/>
      <c r="P41" s="119" t="s">
        <v>83</v>
      </c>
      <c r="Q41" s="119"/>
      <c r="R41" s="119" t="s">
        <v>83</v>
      </c>
      <c r="S41" s="119"/>
      <c r="T41" s="119" t="s">
        <v>83</v>
      </c>
      <c r="U41" s="119"/>
      <c r="V41" s="119" t="s">
        <v>83</v>
      </c>
      <c r="W41" s="57"/>
      <c r="X41" s="57"/>
      <c r="Y41" s="57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17"/>
    </row>
    <row r="42" spans="1:37" ht="15" customHeight="1">
      <c r="A42" s="56"/>
      <c r="B42" s="92" t="s">
        <v>77</v>
      </c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4"/>
      <c r="O42" s="119" t="s">
        <v>83</v>
      </c>
      <c r="P42" s="119"/>
      <c r="Q42" s="119" t="s">
        <v>83</v>
      </c>
      <c r="R42" s="119"/>
      <c r="S42" s="119" t="s">
        <v>83</v>
      </c>
      <c r="T42" s="119"/>
      <c r="U42" s="119" t="s">
        <v>83</v>
      </c>
      <c r="V42" s="119"/>
      <c r="W42" s="57" t="s">
        <v>83</v>
      </c>
      <c r="X42" s="57" t="s">
        <v>83</v>
      </c>
      <c r="Y42" s="57"/>
      <c r="Z42" s="57"/>
      <c r="AA42" s="57"/>
      <c r="AB42" s="57"/>
      <c r="AC42" s="52"/>
      <c r="AD42" s="52"/>
      <c r="AE42" s="57"/>
      <c r="AF42" s="57"/>
      <c r="AG42" s="52"/>
      <c r="AH42" s="52"/>
      <c r="AI42" s="52"/>
      <c r="AJ42" s="52"/>
      <c r="AK42" s="17"/>
    </row>
    <row r="43" spans="1:37" ht="15" customHeight="1">
      <c r="A43" s="56"/>
      <c r="B43" s="80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119"/>
      <c r="P43" s="119"/>
      <c r="Q43" s="119"/>
      <c r="R43" s="119"/>
      <c r="S43" s="119"/>
      <c r="T43" s="119"/>
      <c r="U43" s="119"/>
      <c r="V43" s="119"/>
      <c r="W43" s="57"/>
      <c r="X43" s="57"/>
      <c r="Y43" s="57"/>
      <c r="Z43" s="57"/>
      <c r="AA43" s="57"/>
      <c r="AB43" s="57"/>
      <c r="AC43" s="57"/>
      <c r="AD43" s="52"/>
      <c r="AE43" s="52"/>
      <c r="AF43" s="52"/>
      <c r="AG43" s="52"/>
      <c r="AH43" s="52"/>
      <c r="AI43" s="52"/>
      <c r="AJ43" s="52"/>
      <c r="AK43" s="17"/>
    </row>
    <row r="44" spans="1:37" ht="15" customHeight="1">
      <c r="A44" s="56"/>
      <c r="B44" s="80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119"/>
      <c r="P44" s="119"/>
      <c r="Q44" s="119"/>
      <c r="R44" s="119"/>
      <c r="S44" s="119"/>
      <c r="T44" s="119"/>
      <c r="U44" s="119"/>
      <c r="V44" s="119"/>
      <c r="W44" s="57"/>
      <c r="X44" s="57"/>
      <c r="Y44" s="57"/>
      <c r="Z44" s="57"/>
      <c r="AA44" s="57"/>
      <c r="AB44" s="57"/>
      <c r="AC44" s="57"/>
      <c r="AD44" s="52"/>
      <c r="AE44" s="52"/>
      <c r="AF44" s="52"/>
      <c r="AG44" s="52"/>
      <c r="AH44" s="52"/>
      <c r="AI44" s="52"/>
      <c r="AJ44" s="52"/>
      <c r="AK44" s="17"/>
    </row>
    <row r="45" spans="1:37" ht="15" customHeight="1">
      <c r="A45" s="56"/>
      <c r="B45" s="80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119"/>
      <c r="P45" s="119"/>
      <c r="Q45" s="119"/>
      <c r="R45" s="119"/>
      <c r="S45" s="119"/>
      <c r="T45" s="119"/>
      <c r="U45" s="119"/>
      <c r="V45" s="119"/>
      <c r="W45" s="57"/>
      <c r="X45" s="57"/>
      <c r="Y45" s="57"/>
      <c r="Z45" s="57"/>
      <c r="AA45" s="57"/>
      <c r="AB45" s="57"/>
      <c r="AC45" s="57"/>
      <c r="AD45" s="52"/>
      <c r="AE45" s="52"/>
      <c r="AF45" s="52"/>
      <c r="AG45" s="52"/>
      <c r="AH45" s="52"/>
      <c r="AI45" s="52"/>
      <c r="AJ45" s="52"/>
      <c r="AK45" s="17"/>
    </row>
    <row r="46" spans="1:37" ht="15" customHeight="1">
      <c r="A46" s="56"/>
      <c r="B46" s="80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8"/>
      <c r="O46" s="119"/>
      <c r="P46" s="119"/>
      <c r="Q46" s="118"/>
      <c r="R46" s="119"/>
      <c r="S46" s="119"/>
      <c r="T46" s="119"/>
      <c r="U46" s="118"/>
      <c r="V46" s="119"/>
      <c r="W46" s="52"/>
      <c r="X46" s="52"/>
      <c r="Y46" s="52"/>
      <c r="Z46" s="57"/>
      <c r="AA46" s="57"/>
      <c r="AB46" s="57"/>
      <c r="AC46" s="52"/>
      <c r="AD46" s="52"/>
      <c r="AE46" s="57"/>
      <c r="AF46" s="57"/>
      <c r="AG46" s="52"/>
      <c r="AH46" s="52"/>
      <c r="AI46" s="52"/>
      <c r="AJ46" s="52"/>
      <c r="AK46" s="53"/>
    </row>
    <row r="47" spans="1:37" ht="15" customHeight="1">
      <c r="A47" s="56"/>
      <c r="B47" s="80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119"/>
      <c r="P47" s="119"/>
      <c r="Q47" s="119"/>
      <c r="R47" s="119"/>
      <c r="S47" s="119"/>
      <c r="T47" s="119"/>
      <c r="U47" s="119"/>
      <c r="V47" s="119"/>
      <c r="W47" s="57"/>
      <c r="X47" s="57"/>
      <c r="Y47" s="57"/>
      <c r="Z47" s="57"/>
      <c r="AA47" s="57"/>
      <c r="AB47" s="57"/>
      <c r="AC47" s="52"/>
      <c r="AD47" s="57"/>
      <c r="AE47" s="52"/>
      <c r="AF47" s="52"/>
      <c r="AG47" s="52"/>
      <c r="AH47" s="52"/>
      <c r="AI47" s="52"/>
      <c r="AJ47" s="52"/>
      <c r="AK47" s="17"/>
    </row>
    <row r="48" spans="1:37" ht="15" customHeight="1">
      <c r="A48" s="56"/>
      <c r="B48" s="80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8"/>
      <c r="O48" s="119"/>
      <c r="P48" s="119"/>
      <c r="Q48" s="119"/>
      <c r="R48" s="119"/>
      <c r="S48" s="119"/>
      <c r="T48" s="119"/>
      <c r="U48" s="119"/>
      <c r="V48" s="119"/>
      <c r="W48" s="57"/>
      <c r="X48" s="57"/>
      <c r="Y48" s="57"/>
      <c r="Z48" s="57"/>
      <c r="AA48" s="57"/>
      <c r="AB48" s="57"/>
      <c r="AC48" s="57"/>
      <c r="AD48" s="52"/>
      <c r="AE48" s="52"/>
      <c r="AF48" s="52"/>
      <c r="AG48" s="52"/>
      <c r="AH48" s="52"/>
      <c r="AI48" s="52"/>
      <c r="AJ48" s="52"/>
      <c r="AK48" s="17"/>
    </row>
    <row r="49" spans="1:37" ht="15" customHeight="1">
      <c r="A49" s="56"/>
      <c r="B49" s="80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119"/>
      <c r="P49" s="119"/>
      <c r="Q49" s="119"/>
      <c r="R49" s="119"/>
      <c r="S49" s="119"/>
      <c r="T49" s="119"/>
      <c r="U49" s="119"/>
      <c r="V49" s="119"/>
      <c r="W49" s="57"/>
      <c r="X49" s="57"/>
      <c r="Y49" s="57"/>
      <c r="Z49" s="57"/>
      <c r="AA49" s="57"/>
      <c r="AB49" s="57"/>
      <c r="AC49" s="57"/>
      <c r="AD49" s="52"/>
      <c r="AE49" s="52"/>
      <c r="AF49" s="52"/>
      <c r="AG49" s="52"/>
      <c r="AH49" s="52"/>
      <c r="AI49" s="52"/>
      <c r="AJ49" s="52"/>
      <c r="AK49" s="17"/>
    </row>
    <row r="50" spans="1:37" ht="15" customHeight="1">
      <c r="A50" s="56"/>
      <c r="B50" s="80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119"/>
      <c r="P50" s="119"/>
      <c r="Q50" s="119"/>
      <c r="R50" s="119"/>
      <c r="S50" s="119"/>
      <c r="T50" s="119"/>
      <c r="U50" s="119"/>
      <c r="V50" s="119"/>
      <c r="W50" s="57"/>
      <c r="X50" s="57"/>
      <c r="Y50" s="57"/>
      <c r="Z50" s="57"/>
      <c r="AA50" s="57"/>
      <c r="AB50" s="57"/>
      <c r="AC50" s="57"/>
      <c r="AD50" s="52"/>
      <c r="AE50" s="52"/>
      <c r="AF50" s="52"/>
      <c r="AG50" s="52"/>
      <c r="AH50" s="52"/>
      <c r="AI50" s="52"/>
      <c r="AJ50" s="52"/>
      <c r="AK50" s="17"/>
    </row>
    <row r="51" spans="1:37" ht="15" customHeight="1">
      <c r="A51" s="56"/>
      <c r="B51" s="79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2"/>
      <c r="O51" s="119"/>
      <c r="P51" s="119"/>
      <c r="Q51" s="119"/>
      <c r="R51" s="119"/>
      <c r="S51" s="119"/>
      <c r="T51" s="119"/>
      <c r="U51" s="119"/>
      <c r="V51" s="119"/>
      <c r="W51" s="57"/>
      <c r="X51" s="57"/>
      <c r="Y51" s="57"/>
      <c r="Z51" s="57"/>
      <c r="AA51" s="57"/>
      <c r="AB51" s="57"/>
      <c r="AC51" s="57"/>
      <c r="AD51" s="52"/>
      <c r="AE51" s="52"/>
      <c r="AF51" s="52"/>
      <c r="AG51" s="52"/>
      <c r="AH51" s="52"/>
      <c r="AI51" s="52"/>
      <c r="AJ51" s="52"/>
      <c r="AK51" s="17"/>
    </row>
    <row r="52" spans="1:37" ht="15" customHeight="1">
      <c r="A52" s="10"/>
      <c r="C52" s="19"/>
      <c r="D52" s="184" t="s">
        <v>48</v>
      </c>
      <c r="E52" s="185"/>
      <c r="F52" s="185"/>
      <c r="G52" s="185"/>
      <c r="H52" s="185"/>
      <c r="I52" s="186"/>
      <c r="J52" s="59"/>
      <c r="N52" s="20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2"/>
    </row>
    <row r="53" spans="1:37" ht="15" customHeight="1">
      <c r="A53" s="60"/>
      <c r="B53" s="61"/>
      <c r="C53" s="62"/>
      <c r="D53" s="184"/>
      <c r="E53" s="185"/>
      <c r="F53" s="185"/>
      <c r="G53" s="185"/>
      <c r="H53" s="185"/>
      <c r="I53" s="186"/>
      <c r="J53" s="13"/>
      <c r="K53" s="14"/>
      <c r="L53" s="14"/>
      <c r="M53" s="14"/>
      <c r="N53" s="15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7"/>
    </row>
    <row r="54" spans="1:37" ht="15" customHeight="1">
      <c r="A54" s="18"/>
      <c r="C54" s="19"/>
      <c r="D54" s="184"/>
      <c r="E54" s="185"/>
      <c r="F54" s="185"/>
      <c r="G54" s="185"/>
      <c r="H54" s="185"/>
      <c r="I54" s="186"/>
      <c r="M54" s="19"/>
      <c r="N54" s="20"/>
      <c r="O54" s="68" t="str">
        <f t="shared" ref="O54:AK54" si="0">IF(O55&lt;&gt;"",MONTH(O55),"")</f>
        <v/>
      </c>
      <c r="P54" s="68" t="str">
        <f t="shared" si="0"/>
        <v/>
      </c>
      <c r="Q54" s="68" t="str">
        <f t="shared" si="0"/>
        <v/>
      </c>
      <c r="R54" s="68" t="str">
        <f t="shared" si="0"/>
        <v/>
      </c>
      <c r="S54" s="68" t="str">
        <f t="shared" si="0"/>
        <v/>
      </c>
      <c r="T54" s="68" t="str">
        <f t="shared" si="0"/>
        <v/>
      </c>
      <c r="U54" s="68" t="str">
        <f t="shared" si="0"/>
        <v/>
      </c>
      <c r="V54" s="68" t="str">
        <f t="shared" si="0"/>
        <v/>
      </c>
      <c r="W54" s="68" t="str">
        <f t="shared" si="0"/>
        <v/>
      </c>
      <c r="X54" s="68" t="str">
        <f t="shared" si="0"/>
        <v/>
      </c>
      <c r="Y54" s="68" t="str">
        <f t="shared" si="0"/>
        <v/>
      </c>
      <c r="Z54" s="68" t="str">
        <f t="shared" si="0"/>
        <v/>
      </c>
      <c r="AA54" s="68" t="str">
        <f t="shared" si="0"/>
        <v/>
      </c>
      <c r="AB54" s="68" t="str">
        <f t="shared" si="0"/>
        <v/>
      </c>
      <c r="AC54" s="68" t="str">
        <f t="shared" si="0"/>
        <v/>
      </c>
      <c r="AD54" s="68" t="str">
        <f t="shared" si="0"/>
        <v/>
      </c>
      <c r="AE54" s="68" t="str">
        <f t="shared" si="0"/>
        <v/>
      </c>
      <c r="AF54" s="68" t="str">
        <f t="shared" si="0"/>
        <v/>
      </c>
      <c r="AG54" s="68" t="str">
        <f t="shared" si="0"/>
        <v/>
      </c>
      <c r="AH54" s="68" t="str">
        <f t="shared" si="0"/>
        <v/>
      </c>
      <c r="AI54" s="68" t="str">
        <f t="shared" si="0"/>
        <v/>
      </c>
      <c r="AJ54" s="68" t="str">
        <f t="shared" si="0"/>
        <v/>
      </c>
      <c r="AK54" s="69" t="str">
        <f t="shared" si="0"/>
        <v/>
      </c>
    </row>
    <row r="55" spans="1:37" ht="15" customHeight="1">
      <c r="A55" s="21"/>
      <c r="B55" s="14"/>
      <c r="C55" s="22"/>
      <c r="D55" s="187"/>
      <c r="E55" s="188"/>
      <c r="F55" s="188"/>
      <c r="G55" s="188"/>
      <c r="H55" s="188"/>
      <c r="I55" s="189"/>
      <c r="M55" s="19"/>
      <c r="N55" s="15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1"/>
    </row>
    <row r="56" spans="1:37" ht="15" customHeight="1">
      <c r="A56" s="167" t="s">
        <v>43</v>
      </c>
      <c r="B56" s="168"/>
      <c r="C56" s="169"/>
      <c r="D56" s="177"/>
      <c r="E56" s="175"/>
      <c r="F56" s="175"/>
      <c r="G56" s="175"/>
      <c r="H56" s="175"/>
      <c r="I56" s="176"/>
      <c r="M56" s="19"/>
      <c r="N56" s="20"/>
      <c r="O56" s="68" t="str">
        <f t="shared" ref="O56:AK56" si="1">IF(O57&lt;&gt;"",MONTH(O57),"")</f>
        <v/>
      </c>
      <c r="P56" s="68" t="str">
        <f t="shared" si="1"/>
        <v/>
      </c>
      <c r="Q56" s="68" t="str">
        <f t="shared" si="1"/>
        <v/>
      </c>
      <c r="R56" s="68" t="str">
        <f t="shared" si="1"/>
        <v/>
      </c>
      <c r="S56" s="68" t="str">
        <f t="shared" si="1"/>
        <v/>
      </c>
      <c r="T56" s="68" t="str">
        <f t="shared" si="1"/>
        <v/>
      </c>
      <c r="U56" s="68" t="str">
        <f t="shared" si="1"/>
        <v/>
      </c>
      <c r="V56" s="68" t="str">
        <f t="shared" si="1"/>
        <v/>
      </c>
      <c r="W56" s="68" t="str">
        <f t="shared" si="1"/>
        <v/>
      </c>
      <c r="X56" s="68" t="str">
        <f t="shared" si="1"/>
        <v/>
      </c>
      <c r="Y56" s="68" t="str">
        <f t="shared" si="1"/>
        <v/>
      </c>
      <c r="Z56" s="68" t="str">
        <f t="shared" si="1"/>
        <v/>
      </c>
      <c r="AA56" s="68" t="str">
        <f t="shared" si="1"/>
        <v/>
      </c>
      <c r="AB56" s="68" t="str">
        <f t="shared" si="1"/>
        <v/>
      </c>
      <c r="AC56" s="68" t="str">
        <f t="shared" si="1"/>
        <v/>
      </c>
      <c r="AD56" s="68" t="str">
        <f t="shared" si="1"/>
        <v/>
      </c>
      <c r="AE56" s="68" t="str">
        <f t="shared" si="1"/>
        <v/>
      </c>
      <c r="AF56" s="68" t="str">
        <f t="shared" si="1"/>
        <v/>
      </c>
      <c r="AG56" s="68" t="str">
        <f t="shared" si="1"/>
        <v/>
      </c>
      <c r="AH56" s="68" t="str">
        <f t="shared" si="1"/>
        <v/>
      </c>
      <c r="AI56" s="68" t="str">
        <f t="shared" si="1"/>
        <v/>
      </c>
      <c r="AJ56" s="68" t="str">
        <f t="shared" si="1"/>
        <v/>
      </c>
      <c r="AK56" s="69" t="str">
        <f t="shared" si="1"/>
        <v/>
      </c>
    </row>
    <row r="57" spans="1:37" ht="15" customHeight="1">
      <c r="A57" s="167" t="s">
        <v>44</v>
      </c>
      <c r="B57" s="168"/>
      <c r="C57" s="169"/>
      <c r="D57" s="190"/>
      <c r="E57" s="191"/>
      <c r="F57" s="191"/>
      <c r="G57" s="191"/>
      <c r="H57" s="191"/>
      <c r="I57" s="192"/>
      <c r="J57" s="14"/>
      <c r="K57" s="14"/>
      <c r="L57" s="14"/>
      <c r="M57" s="22"/>
      <c r="N57" s="15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3"/>
    </row>
    <row r="58" spans="1:37" ht="15" customHeight="1">
      <c r="A58" s="167" t="s">
        <v>16</v>
      </c>
      <c r="B58" s="168"/>
      <c r="C58" s="169"/>
      <c r="D58" s="170"/>
      <c r="E58" s="171"/>
      <c r="F58" s="171"/>
      <c r="G58" s="171"/>
      <c r="H58" s="171"/>
      <c r="I58" s="172"/>
      <c r="J58" s="14"/>
      <c r="K58" s="14"/>
      <c r="L58" s="14"/>
      <c r="M58" s="23" t="s">
        <v>17</v>
      </c>
      <c r="N58" s="15"/>
      <c r="O58" s="16" t="s">
        <v>45</v>
      </c>
      <c r="P58" s="16" t="s">
        <v>45</v>
      </c>
      <c r="Q58" s="16" t="s">
        <v>45</v>
      </c>
      <c r="R58" s="16" t="s">
        <v>45</v>
      </c>
      <c r="S58" s="16" t="s">
        <v>45</v>
      </c>
      <c r="T58" s="16" t="s">
        <v>45</v>
      </c>
      <c r="U58" s="16" t="s">
        <v>45</v>
      </c>
      <c r="V58" s="16" t="s">
        <v>45</v>
      </c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7"/>
    </row>
    <row r="59" spans="1:37" ht="15" customHeight="1">
      <c r="A59" s="167" t="s">
        <v>18</v>
      </c>
      <c r="B59" s="168"/>
      <c r="C59" s="169"/>
      <c r="D59" s="173"/>
      <c r="E59" s="168"/>
      <c r="F59" s="168"/>
      <c r="G59" s="168"/>
      <c r="H59" s="168"/>
      <c r="I59" s="169"/>
      <c r="J59" s="14"/>
      <c r="K59" s="14"/>
      <c r="L59" s="14"/>
      <c r="M59" s="23" t="s">
        <v>19</v>
      </c>
      <c r="N59" s="15"/>
      <c r="O59" s="16" t="s">
        <v>46</v>
      </c>
      <c r="P59" s="16" t="s">
        <v>46</v>
      </c>
      <c r="Q59" s="16" t="s">
        <v>46</v>
      </c>
      <c r="R59" s="16" t="s">
        <v>46</v>
      </c>
      <c r="S59" s="16" t="s">
        <v>46</v>
      </c>
      <c r="T59" s="16" t="s">
        <v>46</v>
      </c>
      <c r="U59" s="16" t="s">
        <v>46</v>
      </c>
      <c r="V59" s="16" t="s">
        <v>46</v>
      </c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7"/>
    </row>
    <row r="60" spans="1:37" ht="15" customHeight="1">
      <c r="A60" s="174" t="s">
        <v>20</v>
      </c>
      <c r="B60" s="175"/>
      <c r="C60" s="176"/>
      <c r="D60" s="177" t="s">
        <v>21</v>
      </c>
      <c r="E60" s="175"/>
      <c r="F60" s="175"/>
      <c r="G60" s="175"/>
      <c r="H60" s="175"/>
      <c r="I60" s="176"/>
      <c r="N60" s="20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2"/>
    </row>
    <row r="61" spans="1:37" ht="15" customHeight="1">
      <c r="A61" s="18"/>
      <c r="C61" s="19"/>
      <c r="E61" s="84" t="s">
        <v>22</v>
      </c>
      <c r="H61" s="84" t="s">
        <v>23</v>
      </c>
      <c r="I61" s="19"/>
      <c r="M61" s="84" t="s">
        <v>24</v>
      </c>
      <c r="N61" s="20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2"/>
    </row>
    <row r="62" spans="1:37" ht="15" customHeight="1">
      <c r="A62" s="18"/>
      <c r="C62" s="19"/>
      <c r="I62" s="19"/>
      <c r="J62" s="14"/>
      <c r="K62" s="14"/>
      <c r="L62" s="14"/>
      <c r="M62" s="14"/>
      <c r="N62" s="15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7"/>
    </row>
    <row r="63" spans="1:37" ht="15" customHeight="1">
      <c r="A63" s="161" t="s">
        <v>47</v>
      </c>
      <c r="B63" s="162"/>
      <c r="C63" s="163"/>
      <c r="I63" s="19"/>
      <c r="N63" s="20"/>
      <c r="O63" s="5" t="s">
        <v>40</v>
      </c>
      <c r="P63" s="25"/>
      <c r="Q63" s="25"/>
      <c r="R63" s="25"/>
      <c r="S63" s="25"/>
      <c r="T63" s="25"/>
      <c r="V63" s="19"/>
      <c r="AA63" s="19"/>
      <c r="AF63" s="39" t="s">
        <v>2</v>
      </c>
      <c r="AG63" s="36">
        <f>COUNTIF(O58:AK58,"A")</f>
        <v>8</v>
      </c>
      <c r="AH63" s="40" t="s">
        <v>3</v>
      </c>
      <c r="AI63" s="36">
        <f>COUNTIF(O58:AK58,"B")</f>
        <v>0</v>
      </c>
      <c r="AJ63" s="40" t="s">
        <v>4</v>
      </c>
      <c r="AK63" s="34">
        <f>COUNTIF(O58:AK58,"C")</f>
        <v>0</v>
      </c>
    </row>
    <row r="64" spans="1:37" ht="15" customHeight="1">
      <c r="A64" s="18"/>
      <c r="C64" s="19"/>
      <c r="I64" s="19"/>
      <c r="K64" s="1"/>
      <c r="L64" s="1"/>
      <c r="M64" s="1"/>
      <c r="N64" s="54"/>
      <c r="O64" s="5" t="s">
        <v>41</v>
      </c>
      <c r="Q64" s="26"/>
      <c r="V64" s="19"/>
      <c r="Y64" s="84" t="s">
        <v>25</v>
      </c>
      <c r="AA64" s="19"/>
      <c r="AB64" s="45"/>
      <c r="AC64" s="44">
        <v>1</v>
      </c>
      <c r="AD64" s="33"/>
      <c r="AE64" s="44">
        <v>1</v>
      </c>
      <c r="AF64" s="41" t="s">
        <v>5</v>
      </c>
      <c r="AG64" s="37">
        <f>COUNTIF(M59:AI59,"N")</f>
        <v>8</v>
      </c>
      <c r="AH64" s="42" t="s">
        <v>2</v>
      </c>
      <c r="AI64" s="37">
        <f>COUNTIF(O59:AK59,"A")</f>
        <v>0</v>
      </c>
      <c r="AJ64" s="42" t="s">
        <v>3</v>
      </c>
      <c r="AK64" s="35">
        <f>COUNTIF(O59:AK59,"B")</f>
        <v>0</v>
      </c>
    </row>
    <row r="65" spans="1:37" ht="15" customHeight="1" thickBot="1">
      <c r="A65" s="85"/>
      <c r="B65" s="86"/>
      <c r="C65" s="87"/>
      <c r="D65" s="164"/>
      <c r="E65" s="165"/>
      <c r="F65" s="165"/>
      <c r="G65" s="165"/>
      <c r="H65" s="165"/>
      <c r="I65" s="166"/>
      <c r="J65" s="28"/>
      <c r="K65" s="63"/>
      <c r="L65" s="63"/>
      <c r="M65" s="63"/>
      <c r="N65" s="29"/>
      <c r="O65" s="28"/>
      <c r="P65" s="28"/>
      <c r="Q65" s="28"/>
      <c r="R65" s="28"/>
      <c r="S65" s="28"/>
      <c r="T65" s="28"/>
      <c r="U65" s="28"/>
      <c r="V65" s="27"/>
      <c r="W65" s="28"/>
      <c r="X65" s="28"/>
      <c r="Y65" s="28"/>
      <c r="Z65" s="28"/>
      <c r="AA65" s="27"/>
      <c r="AB65" s="28"/>
      <c r="AC65" s="28"/>
      <c r="AD65" s="28"/>
      <c r="AE65" s="28"/>
      <c r="AF65" s="32" t="s">
        <v>6</v>
      </c>
      <c r="AG65" s="28"/>
      <c r="AH65" s="38"/>
      <c r="AI65" s="43">
        <f>SUM(AF63:AK63)</f>
        <v>8</v>
      </c>
      <c r="AJ65" s="28"/>
      <c r="AK65" s="30"/>
    </row>
  </sheetData>
  <mergeCells count="19">
    <mergeCell ref="C27:N27"/>
    <mergeCell ref="D59:I59"/>
    <mergeCell ref="D60:I60"/>
    <mergeCell ref="C22:N22"/>
    <mergeCell ref="C23:N23"/>
    <mergeCell ref="D65:F65"/>
    <mergeCell ref="G65:I65"/>
    <mergeCell ref="C41:N41"/>
    <mergeCell ref="C26:N26"/>
    <mergeCell ref="A56:C56"/>
    <mergeCell ref="A57:C57"/>
    <mergeCell ref="D52:I55"/>
    <mergeCell ref="D56:I56"/>
    <mergeCell ref="D57:I57"/>
    <mergeCell ref="D58:I58"/>
    <mergeCell ref="A58:C58"/>
    <mergeCell ref="A59:C59"/>
    <mergeCell ref="A60:C60"/>
    <mergeCell ref="A63:C63"/>
  </mergeCells>
  <phoneticPr fontId="16"/>
  <printOptions verticalCentered="1" gridLinesSet="0"/>
  <pageMargins left="0.59055118110236227" right="0.31496062992125984" top="0.39370078740157483" bottom="0.39370078740157483" header="0.51181102362204722" footer="0.39370078740157483"/>
  <pageSetup paperSize="9" scale="74" orientation="portrait" horizontalDpi="4294967292" verticalDpi="4294967292" r:id="rId1"/>
  <headerFooter alignWithMargins="0">
    <oddFooter>&amp;R&amp;"ＭＳ 明朝,斜体"&amp;8All Rights Reserved,Copy Right 2002,Hitachi Software Engineering Co.,Ltd.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9425" r:id="rId4" name="Button 1">
              <controlPr defaultSize="0" print="0" autoFill="0" autoLine="0" autoPict="0" macro="[0]!リスト5_Change">
                <anchor moveWithCells="1" sizeWithCells="1">
                  <from>
                    <xdr:col>0</xdr:col>
                    <xdr:colOff>76200</xdr:colOff>
                    <xdr:row>65</xdr:row>
                    <xdr:rowOff>114300</xdr:rowOff>
                  </from>
                  <to>
                    <xdr:col>5</xdr:col>
                    <xdr:colOff>142875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6" r:id="rId5" name="Button 2">
              <controlPr defaultSize="0" print="0" autoFill="0" autoLine="0" autoPict="0" macro="[0]!DrawCheck.DrawCheck">
                <anchor moveWithCells="1" sizeWithCells="1">
                  <from>
                    <xdr:col>11</xdr:col>
                    <xdr:colOff>180975</xdr:colOff>
                    <xdr:row>1</xdr:row>
                    <xdr:rowOff>762000</xdr:rowOff>
                  </from>
                  <to>
                    <xdr:col>13</xdr:col>
                    <xdr:colOff>476250</xdr:colOff>
                    <xdr:row>1</xdr:row>
                    <xdr:rowOff>1066800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7" r:id="rId6" name="Button 3">
              <controlPr defaultSize="0" print="0" autoFill="0" autoLine="0" autoPict="0" macro="[0]!Cancel_Click">
                <anchor moveWithCells="1" sizeWithCells="1">
                  <from>
                    <xdr:col>11</xdr:col>
                    <xdr:colOff>180975</xdr:colOff>
                    <xdr:row>1</xdr:row>
                    <xdr:rowOff>419100</xdr:rowOff>
                  </from>
                  <to>
                    <xdr:col>13</xdr:col>
                    <xdr:colOff>476250</xdr:colOff>
                    <xdr:row>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8" r:id="rId7" name="Button 4">
              <controlPr defaultSize="0" print="0" autoFill="0" autoLine="0" autoPict="0" macro="[0]!ボタン41_Click">
                <anchor moveWithCells="1" sizeWithCells="1">
                  <from>
                    <xdr:col>1</xdr:col>
                    <xdr:colOff>0</xdr:colOff>
                    <xdr:row>1</xdr:row>
                    <xdr:rowOff>1000125</xdr:rowOff>
                  </from>
                  <to>
                    <xdr:col>4</xdr:col>
                    <xdr:colOff>133350</xdr:colOff>
                    <xdr:row>1</xdr:row>
                    <xdr:rowOff>1352550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9" r:id="rId8" name="Button 5">
              <controlPr defaultSize="0" print="0" autoFill="0" autoLine="0" autoPict="0" macro="[0]!ENTER_A">
                <anchor moveWithCells="1" sizeWithCells="1">
                  <from>
                    <xdr:col>10</xdr:col>
                    <xdr:colOff>209550</xdr:colOff>
                    <xdr:row>1</xdr:row>
                    <xdr:rowOff>1257300</xdr:rowOff>
                  </from>
                  <to>
                    <xdr:col>12</xdr:col>
                    <xdr:colOff>38100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0" r:id="rId9" name="Button 6">
              <controlPr defaultSize="0" print="0" autoFill="0" autoLine="0" autoPict="0" macro="[0]!ENTER_B">
                <anchor moveWithCells="1" sizeWithCells="1">
                  <from>
                    <xdr:col>12</xdr:col>
                    <xdr:colOff>47625</xdr:colOff>
                    <xdr:row>1</xdr:row>
                    <xdr:rowOff>1257300</xdr:rowOff>
                  </from>
                  <to>
                    <xdr:col>13</xdr:col>
                    <xdr:colOff>142875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1" r:id="rId10" name="Button 7">
              <controlPr defaultSize="0" print="0" autoFill="0" autoLine="0" autoPict="0" macro="[0]!ENTER_C">
                <anchor moveWithCells="1" sizeWithCells="1">
                  <from>
                    <xdr:col>13</xdr:col>
                    <xdr:colOff>161925</xdr:colOff>
                    <xdr:row>1</xdr:row>
                    <xdr:rowOff>1257300</xdr:rowOff>
                  </from>
                  <to>
                    <xdr:col>13</xdr:col>
                    <xdr:colOff>485775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2" r:id="rId11" name="Button 8">
              <controlPr defaultSize="0" print="0" autoFill="0" autoLine="0" autoPict="0" macro="[0]!ENTER_N">
                <anchor moveWithCells="1" sizeWithCells="1">
                  <from>
                    <xdr:col>9</xdr:col>
                    <xdr:colOff>95250</xdr:colOff>
                    <xdr:row>1</xdr:row>
                    <xdr:rowOff>1257300</xdr:rowOff>
                  </from>
                  <to>
                    <xdr:col>10</xdr:col>
                    <xdr:colOff>200025</xdr:colOff>
                    <xdr:row>1</xdr:row>
                    <xdr:rowOff>1524000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874A2-D172-4760-B1AC-4236665169CB}">
  <sheetPr codeName="Sheet49">
    <pageSetUpPr fitToPage="1"/>
  </sheetPr>
  <dimension ref="A1:AO65"/>
  <sheetViews>
    <sheetView showGridLines="0" showOutlineSymbols="0" defaultGridColor="0" colorId="8" zoomScaleNormal="100" workbookViewId="0">
      <pane xSplit="14" ySplit="2" topLeftCell="O3" activePane="bottomRight" state="frozen"/>
      <selection activeCell="I22" sqref="I22"/>
      <selection pane="topRight" activeCell="I22" sqref="I22"/>
      <selection pane="bottomLeft" activeCell="I22" sqref="I22"/>
      <selection pane="bottomRight" activeCell="AO14" sqref="AO14"/>
    </sheetView>
  </sheetViews>
  <sheetFormatPr defaultColWidth="9.140625" defaultRowHeight="15" customHeight="1"/>
  <cols>
    <col min="1" max="13" width="3.5703125" style="5" customWidth="1"/>
    <col min="14" max="14" width="11.85546875" style="31" customWidth="1"/>
    <col min="15" max="238" width="3.5703125" style="5" customWidth="1"/>
    <col min="239" max="16384" width="9.140625" style="5"/>
  </cols>
  <sheetData>
    <row r="1" spans="1:41" ht="24.95" customHeight="1">
      <c r="A1" s="66" t="s">
        <v>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74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6"/>
    </row>
    <row r="2" spans="1:41" s="9" customFormat="1" ht="135" customHeight="1">
      <c r="A2" s="6"/>
      <c r="N2" s="58"/>
      <c r="O2" s="117" t="s">
        <v>205</v>
      </c>
      <c r="P2" s="117" t="s">
        <v>206</v>
      </c>
      <c r="Q2" s="117" t="s">
        <v>207</v>
      </c>
      <c r="R2" s="117" t="s">
        <v>208</v>
      </c>
      <c r="S2" s="117" t="s">
        <v>209</v>
      </c>
      <c r="T2" s="117" t="s">
        <v>210</v>
      </c>
      <c r="U2" s="117" t="s">
        <v>211</v>
      </c>
      <c r="V2" s="117" t="s">
        <v>212</v>
      </c>
      <c r="W2" s="67" t="s">
        <v>213</v>
      </c>
      <c r="X2" s="67" t="s">
        <v>214</v>
      </c>
      <c r="Y2" s="67"/>
      <c r="Z2" s="67"/>
      <c r="AA2" s="67"/>
      <c r="AB2" s="67"/>
      <c r="AC2" s="67"/>
      <c r="AD2" s="67"/>
      <c r="AE2" s="64"/>
      <c r="AF2" s="64"/>
      <c r="AG2" s="64"/>
      <c r="AH2" s="64"/>
      <c r="AI2" s="64"/>
      <c r="AJ2" s="64"/>
      <c r="AK2" s="65"/>
      <c r="AL2" s="7"/>
      <c r="AM2" s="8"/>
      <c r="AN2" s="7"/>
    </row>
    <row r="3" spans="1:41" ht="15" customHeight="1">
      <c r="A3" s="55"/>
      <c r="B3" s="80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8"/>
      <c r="O3" s="119"/>
      <c r="P3" s="119"/>
      <c r="Q3" s="119"/>
      <c r="R3" s="118"/>
      <c r="S3" s="119"/>
      <c r="T3" s="119"/>
      <c r="U3" s="119"/>
      <c r="V3" s="118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3"/>
    </row>
    <row r="4" spans="1:41" ht="15" customHeight="1">
      <c r="A4" s="56"/>
      <c r="B4" s="96" t="s">
        <v>125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8"/>
      <c r="O4" s="119"/>
      <c r="P4" s="119"/>
      <c r="Q4" s="119"/>
      <c r="R4" s="119"/>
      <c r="S4" s="119"/>
      <c r="T4" s="119"/>
      <c r="U4" s="119"/>
      <c r="V4" s="119"/>
      <c r="W4" s="57"/>
      <c r="X4" s="57"/>
      <c r="Y4" s="52"/>
      <c r="Z4" s="57"/>
      <c r="AA4" s="57"/>
      <c r="AB4" s="57"/>
      <c r="AC4" s="57"/>
      <c r="AD4" s="52"/>
      <c r="AE4" s="57"/>
      <c r="AF4" s="57"/>
      <c r="AG4" s="57"/>
      <c r="AH4" s="52"/>
      <c r="AI4" s="52"/>
      <c r="AJ4" s="52"/>
      <c r="AK4" s="53"/>
      <c r="AM4" s="120"/>
      <c r="AN4" s="120"/>
      <c r="AO4" s="116" t="s">
        <v>123</v>
      </c>
    </row>
    <row r="5" spans="1:41" ht="15" customHeight="1">
      <c r="A5" s="91"/>
      <c r="B5" s="59"/>
      <c r="C5" s="92" t="s">
        <v>126</v>
      </c>
      <c r="D5" s="93"/>
      <c r="E5" s="93"/>
      <c r="F5" s="93"/>
      <c r="G5" s="93"/>
      <c r="H5" s="93"/>
      <c r="I5" s="93"/>
      <c r="J5" s="93"/>
      <c r="K5" s="93"/>
      <c r="L5" s="93"/>
      <c r="M5" s="93"/>
      <c r="N5" s="94"/>
      <c r="O5" s="119" t="s">
        <v>83</v>
      </c>
      <c r="P5" s="119" t="s">
        <v>83</v>
      </c>
      <c r="Q5" s="119" t="s">
        <v>83</v>
      </c>
      <c r="R5" s="119" t="s">
        <v>83</v>
      </c>
      <c r="S5" s="119" t="s">
        <v>83</v>
      </c>
      <c r="T5" s="119" t="s">
        <v>83</v>
      </c>
      <c r="U5" s="119" t="s">
        <v>83</v>
      </c>
      <c r="V5" s="119" t="s">
        <v>83</v>
      </c>
      <c r="W5" s="57" t="s">
        <v>83</v>
      </c>
      <c r="X5" s="57" t="s">
        <v>83</v>
      </c>
      <c r="Y5" s="57"/>
      <c r="Z5" s="57"/>
      <c r="AA5" s="57"/>
      <c r="AB5" s="57"/>
      <c r="AC5" s="57"/>
      <c r="AD5" s="57"/>
      <c r="AE5" s="57"/>
      <c r="AF5" s="57"/>
      <c r="AG5" s="52"/>
      <c r="AH5" s="52"/>
      <c r="AI5" s="52"/>
      <c r="AJ5" s="52"/>
      <c r="AK5" s="53"/>
      <c r="AM5" s="116" t="s">
        <v>124</v>
      </c>
    </row>
    <row r="6" spans="1:41" ht="15" customHeight="1">
      <c r="A6" s="56" t="s">
        <v>49</v>
      </c>
      <c r="B6" s="96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8"/>
      <c r="O6" s="119"/>
      <c r="P6" s="119"/>
      <c r="Q6" s="118"/>
      <c r="R6" s="119"/>
      <c r="S6" s="119"/>
      <c r="T6" s="119"/>
      <c r="U6" s="118"/>
      <c r="V6" s="119"/>
      <c r="W6" s="52"/>
      <c r="X6" s="52"/>
      <c r="Y6" s="52"/>
      <c r="Z6" s="52"/>
      <c r="AA6" s="57"/>
      <c r="AB6" s="57"/>
      <c r="AC6" s="52"/>
      <c r="AD6" s="57"/>
      <c r="AE6" s="57"/>
      <c r="AF6" s="52"/>
      <c r="AG6" s="52"/>
      <c r="AH6" s="52"/>
      <c r="AI6" s="52"/>
      <c r="AJ6" s="52"/>
      <c r="AK6" s="53"/>
    </row>
    <row r="7" spans="1:41" ht="15" customHeight="1">
      <c r="A7" s="56" t="s">
        <v>8</v>
      </c>
      <c r="B7" s="96" t="s">
        <v>72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8"/>
      <c r="O7" s="119"/>
      <c r="P7" s="119"/>
      <c r="Q7" s="118"/>
      <c r="R7" s="119"/>
      <c r="S7" s="119"/>
      <c r="T7" s="119"/>
      <c r="U7" s="118"/>
      <c r="V7" s="119"/>
      <c r="W7" s="52"/>
      <c r="X7" s="52"/>
      <c r="Y7" s="57"/>
      <c r="Z7" s="57"/>
      <c r="AA7" s="57"/>
      <c r="AB7" s="57"/>
      <c r="AC7" s="52"/>
      <c r="AD7" s="57"/>
      <c r="AE7" s="57"/>
      <c r="AF7" s="57"/>
      <c r="AG7" s="52"/>
      <c r="AH7" s="57"/>
      <c r="AI7" s="52"/>
      <c r="AJ7" s="52"/>
      <c r="AK7" s="53"/>
    </row>
    <row r="8" spans="1:41" ht="15" customHeight="1">
      <c r="A8" s="56" t="s">
        <v>42</v>
      </c>
      <c r="B8" s="80"/>
      <c r="C8" s="96" t="s">
        <v>53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8"/>
      <c r="O8" s="119" t="s">
        <v>83</v>
      </c>
      <c r="P8" s="119" t="s">
        <v>83</v>
      </c>
      <c r="Q8" s="119" t="s">
        <v>83</v>
      </c>
      <c r="R8" s="119" t="s">
        <v>83</v>
      </c>
      <c r="S8" s="119" t="s">
        <v>83</v>
      </c>
      <c r="T8" s="119" t="s">
        <v>83</v>
      </c>
      <c r="U8" s="119" t="s">
        <v>83</v>
      </c>
      <c r="V8" s="119" t="s">
        <v>83</v>
      </c>
      <c r="W8" s="125" t="s">
        <v>83</v>
      </c>
      <c r="X8" s="125" t="s">
        <v>83</v>
      </c>
      <c r="Y8" s="125"/>
      <c r="Z8" s="125"/>
      <c r="AA8" s="57"/>
      <c r="AB8" s="52"/>
      <c r="AC8" s="57"/>
      <c r="AD8" s="52"/>
      <c r="AE8" s="57"/>
      <c r="AF8" s="57"/>
      <c r="AG8" s="57"/>
      <c r="AH8" s="57"/>
      <c r="AI8" s="52"/>
      <c r="AJ8" s="52"/>
      <c r="AK8" s="17"/>
    </row>
    <row r="9" spans="1:41" ht="15" customHeight="1">
      <c r="A9" s="56" t="s">
        <v>9</v>
      </c>
      <c r="B9" s="80"/>
      <c r="C9" s="99"/>
      <c r="D9" s="92" t="s">
        <v>54</v>
      </c>
      <c r="E9" s="93"/>
      <c r="F9" s="93"/>
      <c r="G9" s="93"/>
      <c r="H9" s="93"/>
      <c r="I9" s="93"/>
      <c r="J9" s="93"/>
      <c r="K9" s="93"/>
      <c r="L9" s="93"/>
      <c r="M9" s="93"/>
      <c r="N9" s="94"/>
      <c r="O9" s="119"/>
      <c r="P9" s="119"/>
      <c r="Q9" s="119"/>
      <c r="R9" s="119"/>
      <c r="S9" s="119"/>
      <c r="T9" s="119"/>
      <c r="U9" s="119"/>
      <c r="V9" s="119"/>
      <c r="W9" s="52"/>
      <c r="X9" s="52"/>
      <c r="Y9" s="52"/>
      <c r="Z9" s="52"/>
      <c r="AA9" s="52"/>
      <c r="AB9" s="52"/>
      <c r="AC9" s="57"/>
      <c r="AD9" s="52"/>
      <c r="AE9" s="57"/>
      <c r="AF9" s="57"/>
      <c r="AG9" s="57"/>
      <c r="AH9" s="57"/>
      <c r="AI9" s="52"/>
      <c r="AJ9" s="52"/>
      <c r="AK9" s="17"/>
    </row>
    <row r="10" spans="1:41" ht="15" customHeight="1">
      <c r="A10" s="56" t="s">
        <v>10</v>
      </c>
      <c r="B10" s="80"/>
      <c r="C10" s="99"/>
      <c r="D10" s="77" t="s">
        <v>79</v>
      </c>
      <c r="E10" s="77"/>
      <c r="F10" s="77"/>
      <c r="G10" s="77"/>
      <c r="H10" s="77"/>
      <c r="I10" s="77"/>
      <c r="J10" s="77"/>
      <c r="K10" s="77"/>
      <c r="L10" s="77"/>
      <c r="M10" s="77"/>
      <c r="N10" s="78"/>
      <c r="O10" s="119"/>
      <c r="P10" s="119"/>
      <c r="Q10" s="119"/>
      <c r="R10" s="119"/>
      <c r="S10" s="119"/>
      <c r="T10" s="118"/>
      <c r="U10" s="118"/>
      <c r="V10" s="118"/>
      <c r="W10" s="57"/>
      <c r="X10" s="57"/>
      <c r="Y10" s="52"/>
      <c r="Z10" s="52"/>
      <c r="AA10" s="52"/>
      <c r="AB10" s="52"/>
      <c r="AC10" s="57"/>
      <c r="AD10" s="52"/>
      <c r="AE10" s="57"/>
      <c r="AF10" s="57"/>
      <c r="AG10" s="57"/>
      <c r="AH10" s="57"/>
      <c r="AI10" s="52"/>
      <c r="AJ10" s="52"/>
      <c r="AK10" s="17"/>
    </row>
    <row r="11" spans="1:41" ht="15" customHeight="1">
      <c r="A11" s="56" t="s">
        <v>11</v>
      </c>
      <c r="B11" s="95"/>
      <c r="C11" s="95"/>
      <c r="D11" s="92" t="s">
        <v>80</v>
      </c>
      <c r="E11" s="93"/>
      <c r="F11" s="93"/>
      <c r="G11" s="93"/>
      <c r="H11" s="93"/>
      <c r="I11" s="93"/>
      <c r="J11" s="93"/>
      <c r="K11" s="93"/>
      <c r="L11" s="93"/>
      <c r="M11" s="93"/>
      <c r="N11" s="94"/>
      <c r="O11" s="119"/>
      <c r="P11" s="119"/>
      <c r="Q11" s="119"/>
      <c r="R11" s="119"/>
      <c r="S11" s="119"/>
      <c r="T11" s="118"/>
      <c r="U11" s="118"/>
      <c r="V11" s="118"/>
      <c r="W11" s="52"/>
      <c r="X11" s="57"/>
      <c r="Y11" s="57"/>
      <c r="Z11" s="57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17"/>
    </row>
    <row r="12" spans="1:41" ht="15" customHeight="1">
      <c r="A12" s="56"/>
      <c r="B12" s="80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119"/>
      <c r="P12" s="119"/>
      <c r="Q12" s="119"/>
      <c r="R12" s="119"/>
      <c r="S12" s="119"/>
      <c r="T12" s="119"/>
      <c r="U12" s="119"/>
      <c r="V12" s="119"/>
      <c r="W12" s="57"/>
      <c r="X12" s="52"/>
      <c r="Y12" s="57"/>
      <c r="Z12" s="52"/>
      <c r="AA12" s="57"/>
      <c r="AB12" s="52"/>
      <c r="AC12" s="57"/>
      <c r="AD12" s="52"/>
      <c r="AE12" s="57"/>
      <c r="AF12" s="57"/>
      <c r="AG12" s="57"/>
      <c r="AH12" s="57"/>
      <c r="AI12" s="52"/>
      <c r="AJ12" s="52"/>
      <c r="AK12" s="17"/>
    </row>
    <row r="13" spans="1:41" ht="15" customHeight="1">
      <c r="A13" s="56"/>
      <c r="B13" s="96" t="s">
        <v>113</v>
      </c>
      <c r="C13" s="96"/>
      <c r="D13" s="96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19"/>
      <c r="P13" s="119"/>
      <c r="Q13" s="119"/>
      <c r="R13" s="119"/>
      <c r="S13" s="119"/>
      <c r="T13" s="119"/>
      <c r="U13" s="119"/>
      <c r="V13" s="119"/>
      <c r="W13" s="57"/>
      <c r="X13" s="57"/>
      <c r="Y13" s="57"/>
      <c r="Z13" s="57"/>
      <c r="AA13" s="57"/>
      <c r="AB13" s="57"/>
      <c r="AC13" s="52"/>
      <c r="AD13" s="52"/>
      <c r="AE13" s="57"/>
      <c r="AF13" s="57"/>
      <c r="AG13" s="52"/>
      <c r="AH13" s="52"/>
      <c r="AI13" s="52"/>
      <c r="AJ13" s="52"/>
      <c r="AK13" s="53"/>
    </row>
    <row r="14" spans="1:41" ht="15" customHeight="1">
      <c r="B14" s="80"/>
      <c r="C14" s="92" t="s">
        <v>114</v>
      </c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4"/>
      <c r="O14" s="119" t="s">
        <v>83</v>
      </c>
      <c r="P14" s="119" t="s">
        <v>83</v>
      </c>
      <c r="Q14" s="119" t="s">
        <v>83</v>
      </c>
      <c r="R14" s="119" t="s">
        <v>83</v>
      </c>
      <c r="S14" s="119" t="s">
        <v>83</v>
      </c>
      <c r="T14" s="119" t="s">
        <v>83</v>
      </c>
      <c r="U14" s="119" t="s">
        <v>83</v>
      </c>
      <c r="V14" s="119" t="s">
        <v>83</v>
      </c>
      <c r="W14" s="125" t="s">
        <v>83</v>
      </c>
      <c r="X14" s="125" t="s">
        <v>83</v>
      </c>
      <c r="Y14" s="125"/>
      <c r="Z14" s="125"/>
      <c r="AA14" s="57"/>
      <c r="AB14" s="57"/>
      <c r="AC14" s="52"/>
      <c r="AD14" s="52"/>
      <c r="AE14" s="57"/>
      <c r="AF14" s="57"/>
      <c r="AG14" s="52"/>
      <c r="AH14" s="52"/>
      <c r="AI14" s="52"/>
      <c r="AJ14" s="52"/>
      <c r="AK14" s="53"/>
    </row>
    <row r="15" spans="1:41" ht="15" customHeight="1">
      <c r="B15" s="96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19"/>
      <c r="P15" s="119"/>
      <c r="Q15" s="119"/>
      <c r="R15" s="118"/>
      <c r="S15" s="119"/>
      <c r="T15" s="119"/>
      <c r="U15" s="119"/>
      <c r="V15" s="119"/>
      <c r="W15" s="57"/>
      <c r="X15" s="52"/>
      <c r="Y15" s="57"/>
      <c r="Z15" s="57"/>
      <c r="AA15" s="57"/>
      <c r="AB15" s="57"/>
      <c r="AC15" s="52"/>
      <c r="AD15" s="52"/>
      <c r="AE15" s="57"/>
      <c r="AF15" s="57"/>
      <c r="AG15" s="52"/>
      <c r="AH15" s="52"/>
      <c r="AI15" s="52"/>
      <c r="AJ15" s="52"/>
      <c r="AK15" s="53"/>
    </row>
    <row r="16" spans="1:41" ht="15" customHeight="1">
      <c r="A16" s="56"/>
      <c r="B16" s="96" t="s">
        <v>104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8"/>
      <c r="O16" s="119"/>
      <c r="P16" s="119"/>
      <c r="Q16" s="119"/>
      <c r="R16" s="119"/>
      <c r="S16" s="119"/>
      <c r="T16" s="119"/>
      <c r="U16" s="119"/>
      <c r="V16" s="119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2"/>
      <c r="AJ16" s="52"/>
      <c r="AK16" s="53"/>
    </row>
    <row r="17" spans="1:37" ht="15" customHeight="1">
      <c r="A17" s="56"/>
      <c r="B17" s="80"/>
      <c r="C17" s="148" t="s">
        <v>109</v>
      </c>
      <c r="D17" s="149"/>
      <c r="E17" s="149"/>
      <c r="F17" s="149"/>
      <c r="G17" s="149"/>
      <c r="H17" s="149"/>
      <c r="I17" s="149"/>
      <c r="J17" s="149"/>
      <c r="K17" s="149"/>
      <c r="L17" s="149"/>
      <c r="M17" s="149"/>
      <c r="N17" s="150"/>
      <c r="O17" s="145"/>
      <c r="P17" s="145"/>
      <c r="Q17" s="146"/>
      <c r="R17" s="145"/>
      <c r="S17" s="145"/>
      <c r="T17" s="145"/>
      <c r="U17" s="146"/>
      <c r="V17" s="145"/>
      <c r="W17" s="146"/>
      <c r="X17" s="146"/>
      <c r="Y17" s="145"/>
      <c r="Z17" s="146"/>
      <c r="AA17" s="145"/>
      <c r="AB17" s="145"/>
      <c r="AC17" s="145"/>
      <c r="AD17" s="146"/>
      <c r="AE17" s="146"/>
      <c r="AF17" s="146"/>
      <c r="AG17" s="146"/>
      <c r="AH17" s="146"/>
      <c r="AI17" s="146"/>
      <c r="AJ17" s="146"/>
      <c r="AK17" s="147"/>
    </row>
    <row r="18" spans="1:37" ht="15" customHeight="1">
      <c r="A18" s="56"/>
      <c r="B18" s="80"/>
      <c r="C18" s="148" t="s">
        <v>122</v>
      </c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50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6"/>
      <c r="AE18" s="145"/>
      <c r="AF18" s="145"/>
      <c r="AG18" s="145"/>
      <c r="AH18" s="146"/>
      <c r="AI18" s="146"/>
      <c r="AJ18" s="146"/>
      <c r="AK18" s="147"/>
    </row>
    <row r="19" spans="1:37" ht="15" customHeight="1">
      <c r="A19" s="56"/>
      <c r="B19" s="80"/>
      <c r="C19" s="80" t="s">
        <v>110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8"/>
      <c r="O19" s="119" t="s">
        <v>83</v>
      </c>
      <c r="P19" s="119" t="s">
        <v>83</v>
      </c>
      <c r="Q19" s="119"/>
      <c r="R19" s="119"/>
      <c r="S19" s="119"/>
      <c r="T19" s="119"/>
      <c r="U19" s="119"/>
      <c r="V19" s="119"/>
      <c r="W19" s="125" t="s">
        <v>83</v>
      </c>
      <c r="X19" s="125" t="s">
        <v>83</v>
      </c>
      <c r="Y19" s="57"/>
      <c r="Z19" s="57"/>
      <c r="AA19" s="57"/>
      <c r="AB19" s="57"/>
      <c r="AC19" s="57"/>
      <c r="AD19" s="57"/>
      <c r="AE19" s="57"/>
      <c r="AF19" s="57"/>
      <c r="AG19" s="52"/>
      <c r="AH19" s="52"/>
      <c r="AI19" s="52"/>
      <c r="AJ19" s="52"/>
      <c r="AK19" s="53"/>
    </row>
    <row r="20" spans="1:37" ht="15" customHeight="1">
      <c r="A20" s="56"/>
      <c r="B20" s="80"/>
      <c r="C20" s="92" t="s">
        <v>111</v>
      </c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4"/>
      <c r="O20" s="119"/>
      <c r="P20" s="119"/>
      <c r="Q20" s="119" t="s">
        <v>83</v>
      </c>
      <c r="R20" s="119" t="s">
        <v>83</v>
      </c>
      <c r="S20" s="119"/>
      <c r="T20" s="119"/>
      <c r="U20" s="119"/>
      <c r="V20" s="119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2"/>
      <c r="AH20" s="52"/>
      <c r="AI20" s="52"/>
      <c r="AJ20" s="52"/>
      <c r="AK20" s="53"/>
    </row>
    <row r="21" spans="1:37" ht="30.75" customHeight="1">
      <c r="A21" s="56"/>
      <c r="B21" s="80"/>
      <c r="C21" s="199" t="s">
        <v>118</v>
      </c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1"/>
      <c r="O21" s="119"/>
      <c r="P21" s="119"/>
      <c r="Q21" s="119"/>
      <c r="R21" s="119"/>
      <c r="S21" s="119" t="s">
        <v>83</v>
      </c>
      <c r="T21" s="119" t="s">
        <v>83</v>
      </c>
      <c r="U21" s="119"/>
      <c r="V21" s="119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2"/>
      <c r="AH21" s="52"/>
      <c r="AI21" s="52"/>
      <c r="AJ21" s="52"/>
      <c r="AK21" s="53"/>
    </row>
    <row r="22" spans="1:37" ht="30" customHeight="1">
      <c r="A22" s="56"/>
      <c r="B22" s="79"/>
      <c r="C22" s="181" t="s">
        <v>119</v>
      </c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3"/>
      <c r="O22" s="119"/>
      <c r="P22" s="119"/>
      <c r="Q22" s="119"/>
      <c r="R22" s="119"/>
      <c r="S22" s="119"/>
      <c r="T22" s="119"/>
      <c r="U22" s="119" t="s">
        <v>83</v>
      </c>
      <c r="V22" s="119" t="s">
        <v>83</v>
      </c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2"/>
      <c r="AH22" s="52"/>
      <c r="AI22" s="52"/>
      <c r="AJ22" s="52"/>
      <c r="AK22" s="53"/>
    </row>
    <row r="23" spans="1:37" ht="15" customHeight="1">
      <c r="B23" s="79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2"/>
      <c r="O23" s="119"/>
      <c r="P23" s="119"/>
      <c r="Q23" s="118"/>
      <c r="R23" s="118"/>
      <c r="S23" s="119"/>
      <c r="T23" s="119"/>
      <c r="U23" s="119"/>
      <c r="V23" s="119"/>
      <c r="W23" s="52"/>
      <c r="X23" s="52"/>
      <c r="Y23" s="57"/>
      <c r="Z23" s="57"/>
      <c r="AA23" s="57"/>
      <c r="AB23" s="57"/>
      <c r="AC23" s="57"/>
      <c r="AD23" s="52"/>
      <c r="AE23" s="57"/>
      <c r="AF23" s="57"/>
      <c r="AG23" s="57"/>
      <c r="AH23" s="52"/>
      <c r="AI23" s="52"/>
      <c r="AJ23" s="52"/>
      <c r="AK23" s="53"/>
    </row>
    <row r="24" spans="1:37" ht="15" customHeight="1">
      <c r="A24" s="102"/>
      <c r="B24" s="96" t="s">
        <v>117</v>
      </c>
      <c r="C24" s="139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1"/>
      <c r="O24" s="119"/>
      <c r="P24" s="119"/>
      <c r="Q24" s="119"/>
      <c r="R24" s="119"/>
      <c r="S24" s="119"/>
      <c r="T24" s="119"/>
      <c r="U24" s="119"/>
      <c r="V24" s="119"/>
      <c r="W24" s="57"/>
      <c r="X24" s="57"/>
      <c r="Y24" s="57"/>
      <c r="Z24" s="57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17"/>
    </row>
    <row r="25" spans="1:37" ht="15" customHeight="1">
      <c r="A25" s="56"/>
      <c r="B25" s="13"/>
      <c r="C25" s="204" t="s">
        <v>116</v>
      </c>
      <c r="D25" s="205"/>
      <c r="E25" s="205"/>
      <c r="F25" s="205"/>
      <c r="G25" s="205"/>
      <c r="H25" s="205"/>
      <c r="I25" s="205"/>
      <c r="J25" s="205"/>
      <c r="K25" s="205"/>
      <c r="L25" s="205"/>
      <c r="M25" s="205"/>
      <c r="N25" s="206"/>
      <c r="O25" s="119" t="s">
        <v>83</v>
      </c>
      <c r="P25" s="119" t="s">
        <v>83</v>
      </c>
      <c r="Q25" s="119" t="s">
        <v>83</v>
      </c>
      <c r="R25" s="119" t="s">
        <v>83</v>
      </c>
      <c r="S25" s="119" t="s">
        <v>83</v>
      </c>
      <c r="T25" s="119" t="s">
        <v>83</v>
      </c>
      <c r="U25" s="119" t="s">
        <v>83</v>
      </c>
      <c r="V25" s="119" t="s">
        <v>83</v>
      </c>
      <c r="W25" s="125" t="s">
        <v>83</v>
      </c>
      <c r="X25" s="125" t="s">
        <v>83</v>
      </c>
      <c r="Y25" s="57"/>
      <c r="Z25" s="57"/>
      <c r="AA25" s="57"/>
      <c r="AB25" s="57"/>
      <c r="AC25" s="57"/>
      <c r="AD25" s="57"/>
      <c r="AE25" s="57"/>
      <c r="AF25" s="57"/>
      <c r="AG25" s="52"/>
      <c r="AH25" s="52"/>
      <c r="AI25" s="52"/>
      <c r="AJ25" s="52"/>
      <c r="AK25" s="17"/>
    </row>
    <row r="26" spans="1:37" ht="15" customHeight="1">
      <c r="A26" s="56"/>
      <c r="B26" s="79"/>
      <c r="C26" s="207"/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08"/>
      <c r="O26" s="119"/>
      <c r="P26" s="119"/>
      <c r="Q26" s="119"/>
      <c r="R26" s="119"/>
      <c r="S26" s="119"/>
      <c r="T26" s="119"/>
      <c r="U26" s="119"/>
      <c r="V26" s="119"/>
      <c r="W26" s="57"/>
      <c r="X26" s="52"/>
      <c r="Y26" s="57"/>
      <c r="Z26" s="57"/>
      <c r="AA26" s="57"/>
      <c r="AB26" s="57"/>
      <c r="AC26" s="52"/>
      <c r="AD26" s="57"/>
      <c r="AE26" s="52"/>
      <c r="AF26" s="52"/>
      <c r="AG26" s="52"/>
      <c r="AH26" s="52"/>
      <c r="AI26" s="52"/>
      <c r="AJ26" s="52"/>
      <c r="AK26" s="17"/>
    </row>
    <row r="27" spans="1:37" ht="15" customHeight="1">
      <c r="B27" s="96" t="s">
        <v>73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4"/>
      <c r="O27" s="119"/>
      <c r="P27" s="119"/>
      <c r="Q27" s="119"/>
      <c r="R27" s="119"/>
      <c r="S27" s="119"/>
      <c r="T27" s="119"/>
      <c r="U27" s="119"/>
      <c r="V27" s="119"/>
      <c r="W27" s="57"/>
      <c r="X27" s="57"/>
      <c r="Y27" s="57"/>
      <c r="Z27" s="57"/>
      <c r="AA27" s="57"/>
      <c r="AB27" s="57"/>
      <c r="AC27" s="57"/>
      <c r="AD27" s="52"/>
      <c r="AE27" s="57"/>
      <c r="AF27" s="57"/>
      <c r="AG27" s="57"/>
      <c r="AH27" s="52"/>
      <c r="AI27" s="52"/>
      <c r="AJ27" s="52"/>
      <c r="AK27" s="53"/>
    </row>
    <row r="28" spans="1:37" ht="15" customHeight="1">
      <c r="A28" s="56"/>
      <c r="B28" s="80"/>
      <c r="C28" s="92" t="s">
        <v>74</v>
      </c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4"/>
      <c r="O28" s="119" t="s">
        <v>83</v>
      </c>
      <c r="P28" s="119"/>
      <c r="Q28" s="119" t="s">
        <v>83</v>
      </c>
      <c r="R28" s="119"/>
      <c r="S28" s="119" t="s">
        <v>83</v>
      </c>
      <c r="T28" s="119"/>
      <c r="U28" s="119" t="s">
        <v>83</v>
      </c>
      <c r="V28" s="119"/>
      <c r="W28" s="125" t="s">
        <v>83</v>
      </c>
      <c r="X28" s="125" t="s">
        <v>83</v>
      </c>
      <c r="Y28" s="57"/>
      <c r="Z28" s="57"/>
      <c r="AA28" s="57"/>
      <c r="AB28" s="57"/>
      <c r="AC28" s="57"/>
      <c r="AD28" s="52"/>
      <c r="AE28" s="57"/>
      <c r="AF28" s="57"/>
      <c r="AG28" s="57"/>
      <c r="AH28" s="52"/>
      <c r="AI28" s="52"/>
      <c r="AJ28" s="52"/>
      <c r="AK28" s="53"/>
    </row>
    <row r="29" spans="1:37" ht="15" customHeight="1">
      <c r="A29" s="56"/>
      <c r="B29" s="79"/>
      <c r="C29" s="92" t="s">
        <v>75</v>
      </c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4"/>
      <c r="O29" s="119"/>
      <c r="P29" s="119" t="s">
        <v>83</v>
      </c>
      <c r="Q29" s="119"/>
      <c r="R29" s="119" t="s">
        <v>83</v>
      </c>
      <c r="S29" s="119"/>
      <c r="T29" s="119" t="s">
        <v>83</v>
      </c>
      <c r="U29" s="119"/>
      <c r="V29" s="119" t="s">
        <v>83</v>
      </c>
      <c r="W29" s="57"/>
      <c r="X29" s="57"/>
      <c r="Y29" s="57"/>
      <c r="Z29" s="57"/>
      <c r="AA29" s="57"/>
      <c r="AB29" s="57"/>
      <c r="AC29" s="57"/>
      <c r="AD29" s="52"/>
      <c r="AE29" s="57"/>
      <c r="AF29" s="57"/>
      <c r="AG29" s="57"/>
      <c r="AH29" s="52"/>
      <c r="AI29" s="52"/>
      <c r="AJ29" s="52"/>
      <c r="AK29" s="53"/>
    </row>
    <row r="30" spans="1:37" ht="15" customHeight="1">
      <c r="A30" s="56"/>
      <c r="B30" s="96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8"/>
      <c r="O30" s="119"/>
      <c r="P30" s="119"/>
      <c r="Q30" s="119"/>
      <c r="R30" s="119"/>
      <c r="S30" s="119"/>
      <c r="T30" s="119"/>
      <c r="U30" s="119"/>
      <c r="V30" s="119"/>
      <c r="W30" s="57"/>
      <c r="X30" s="57"/>
      <c r="Y30" s="57"/>
      <c r="Z30" s="57"/>
      <c r="AA30" s="57"/>
      <c r="AB30" s="57"/>
      <c r="AC30" s="57"/>
      <c r="AD30" s="52"/>
      <c r="AE30" s="57"/>
      <c r="AF30" s="57"/>
      <c r="AG30" s="57"/>
      <c r="AH30" s="52"/>
      <c r="AI30" s="52"/>
      <c r="AJ30" s="52"/>
      <c r="AK30" s="53"/>
    </row>
    <row r="31" spans="1:37" ht="15" customHeight="1">
      <c r="A31" s="56"/>
      <c r="B31" s="80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8"/>
      <c r="O31" s="119"/>
      <c r="P31" s="119"/>
      <c r="Q31" s="119"/>
      <c r="R31" s="119"/>
      <c r="S31" s="119"/>
      <c r="T31" s="119"/>
      <c r="U31" s="119"/>
      <c r="V31" s="119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2"/>
      <c r="AJ31" s="52"/>
      <c r="AK31" s="53"/>
    </row>
    <row r="32" spans="1:37" ht="15" customHeight="1">
      <c r="A32" s="56"/>
      <c r="B32" s="80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8"/>
      <c r="O32" s="119"/>
      <c r="P32" s="119"/>
      <c r="Q32" s="118"/>
      <c r="R32" s="118"/>
      <c r="S32" s="119"/>
      <c r="T32" s="119"/>
      <c r="U32" s="119"/>
      <c r="V32" s="119"/>
      <c r="W32" s="52"/>
      <c r="X32" s="52"/>
      <c r="Y32" s="57"/>
      <c r="Z32" s="57"/>
      <c r="AA32" s="57"/>
      <c r="AB32" s="57"/>
      <c r="AC32" s="57"/>
      <c r="AD32" s="52"/>
      <c r="AE32" s="57"/>
      <c r="AF32" s="57"/>
      <c r="AG32" s="57"/>
      <c r="AH32" s="52"/>
      <c r="AI32" s="52"/>
      <c r="AJ32" s="52"/>
      <c r="AK32" s="53"/>
    </row>
    <row r="33" spans="1:37" ht="15" customHeight="1">
      <c r="A33" s="103"/>
      <c r="B33" s="79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2"/>
      <c r="O33" s="119"/>
      <c r="P33" s="119"/>
      <c r="Q33" s="119"/>
      <c r="R33" s="119"/>
      <c r="S33" s="119"/>
      <c r="T33" s="119"/>
      <c r="U33" s="119"/>
      <c r="V33" s="119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2"/>
      <c r="AJ33" s="52"/>
      <c r="AK33" s="53"/>
    </row>
    <row r="34" spans="1:37" ht="15" customHeight="1">
      <c r="A34" s="56"/>
      <c r="B34" s="80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8"/>
      <c r="O34" s="119"/>
      <c r="P34" s="119"/>
      <c r="Q34" s="119"/>
      <c r="R34" s="119"/>
      <c r="S34" s="119"/>
      <c r="T34" s="119"/>
      <c r="U34" s="119"/>
      <c r="V34" s="119"/>
      <c r="W34" s="57"/>
      <c r="X34" s="57"/>
      <c r="Y34" s="57"/>
      <c r="Z34" s="52"/>
      <c r="AA34" s="57"/>
      <c r="AB34" s="57"/>
      <c r="AC34" s="52"/>
      <c r="AD34" s="52"/>
      <c r="AE34" s="57"/>
      <c r="AF34" s="57"/>
      <c r="AG34" s="52"/>
      <c r="AH34" s="52"/>
      <c r="AI34" s="52"/>
      <c r="AJ34" s="52"/>
      <c r="AK34" s="17"/>
    </row>
    <row r="35" spans="1:37" ht="15" customHeight="1">
      <c r="A35" s="56"/>
      <c r="B35" s="96" t="s">
        <v>128</v>
      </c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19"/>
      <c r="P35" s="119"/>
      <c r="Q35" s="119"/>
      <c r="R35" s="119"/>
      <c r="S35" s="119"/>
      <c r="T35" s="119"/>
      <c r="U35" s="119"/>
      <c r="V35" s="119"/>
      <c r="W35" s="57"/>
      <c r="X35" s="57"/>
      <c r="Y35" s="57"/>
      <c r="Z35" s="52"/>
      <c r="AA35" s="57"/>
      <c r="AB35" s="57"/>
      <c r="AC35" s="52"/>
      <c r="AD35" s="52"/>
      <c r="AE35" s="57"/>
      <c r="AF35" s="57"/>
      <c r="AG35" s="52"/>
      <c r="AH35" s="52"/>
      <c r="AI35" s="52"/>
      <c r="AJ35" s="52"/>
      <c r="AK35" s="17"/>
    </row>
    <row r="36" spans="1:37" ht="15" customHeight="1">
      <c r="A36" s="56"/>
      <c r="B36" s="95"/>
      <c r="C36" s="92" t="s">
        <v>126</v>
      </c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4"/>
      <c r="O36" s="119"/>
      <c r="P36" s="119"/>
      <c r="Q36" s="119"/>
      <c r="R36" s="119"/>
      <c r="S36" s="119"/>
      <c r="T36" s="119"/>
      <c r="U36" s="119"/>
      <c r="V36" s="119"/>
      <c r="W36" s="57"/>
      <c r="X36" s="57"/>
      <c r="Y36" s="57"/>
      <c r="Z36" s="57"/>
      <c r="AA36" s="57"/>
      <c r="AB36" s="57"/>
      <c r="AC36" s="52"/>
      <c r="AD36" s="52"/>
      <c r="AE36" s="57"/>
      <c r="AF36" s="57"/>
      <c r="AG36" s="52"/>
      <c r="AH36" s="52"/>
      <c r="AI36" s="52"/>
      <c r="AJ36" s="52"/>
      <c r="AK36" s="17"/>
    </row>
    <row r="37" spans="1:37" ht="15" customHeight="1">
      <c r="A37" s="114" t="s">
        <v>112</v>
      </c>
      <c r="B37" s="96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8"/>
      <c r="O37" s="119"/>
      <c r="P37" s="119"/>
      <c r="Q37" s="119"/>
      <c r="R37" s="119"/>
      <c r="S37" s="119"/>
      <c r="T37" s="119"/>
      <c r="U37" s="119"/>
      <c r="V37" s="119"/>
      <c r="W37" s="57"/>
      <c r="X37" s="57"/>
      <c r="Y37" s="57"/>
      <c r="Z37" s="52"/>
      <c r="AA37" s="57"/>
      <c r="AB37" s="57"/>
      <c r="AC37" s="52"/>
      <c r="AD37" s="52"/>
      <c r="AE37" s="57"/>
      <c r="AF37" s="57"/>
      <c r="AG37" s="52"/>
      <c r="AH37" s="52"/>
      <c r="AI37" s="52"/>
      <c r="AJ37" s="52"/>
      <c r="AK37" s="17"/>
    </row>
    <row r="38" spans="1:37" ht="15" customHeight="1">
      <c r="A38" s="56" t="s">
        <v>13</v>
      </c>
      <c r="B38" s="80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119"/>
      <c r="P38" s="119"/>
      <c r="Q38" s="119"/>
      <c r="R38" s="119"/>
      <c r="S38" s="119"/>
      <c r="T38" s="119"/>
      <c r="U38" s="119"/>
      <c r="V38" s="119"/>
      <c r="W38" s="57"/>
      <c r="X38" s="57"/>
      <c r="Y38" s="57"/>
      <c r="Z38" s="57"/>
      <c r="AA38" s="57"/>
      <c r="AB38" s="57"/>
      <c r="AC38" s="57"/>
      <c r="AD38" s="52"/>
      <c r="AE38" s="52"/>
      <c r="AF38" s="52"/>
      <c r="AG38" s="52"/>
      <c r="AH38" s="52"/>
      <c r="AI38" s="52"/>
      <c r="AJ38" s="52"/>
      <c r="AK38" s="17"/>
    </row>
    <row r="39" spans="1:37" ht="15" customHeight="1">
      <c r="A39" s="104" t="s">
        <v>120</v>
      </c>
      <c r="B39" s="59"/>
      <c r="N39" s="20"/>
      <c r="O39" s="119"/>
      <c r="P39" s="119"/>
      <c r="Q39" s="119"/>
      <c r="R39" s="119"/>
      <c r="S39" s="119"/>
      <c r="T39" s="119"/>
      <c r="U39" s="119"/>
      <c r="V39" s="119"/>
      <c r="W39" s="57"/>
      <c r="X39" s="57"/>
      <c r="Y39" s="57"/>
      <c r="Z39" s="52"/>
      <c r="AA39" s="57"/>
      <c r="AB39" s="57"/>
      <c r="AC39" s="52"/>
      <c r="AD39" s="52"/>
      <c r="AE39" s="57"/>
      <c r="AF39" s="57"/>
      <c r="AG39" s="52"/>
      <c r="AH39" s="52"/>
      <c r="AI39" s="52"/>
      <c r="AJ39" s="52"/>
      <c r="AK39" s="17"/>
    </row>
    <row r="40" spans="1:37" ht="15" customHeight="1">
      <c r="A40" s="56" t="s">
        <v>121</v>
      </c>
      <c r="B40" s="96" t="s">
        <v>78</v>
      </c>
      <c r="C40" s="101"/>
      <c r="D40" s="101"/>
      <c r="E40" s="93"/>
      <c r="F40" s="93"/>
      <c r="G40" s="93"/>
      <c r="H40" s="93"/>
      <c r="I40" s="93"/>
      <c r="J40" s="93"/>
      <c r="K40" s="93"/>
      <c r="L40" s="93"/>
      <c r="M40" s="93"/>
      <c r="N40" s="94"/>
      <c r="O40" s="119"/>
      <c r="P40" s="119"/>
      <c r="Q40" s="119"/>
      <c r="R40" s="119"/>
      <c r="S40" s="119"/>
      <c r="T40" s="119"/>
      <c r="U40" s="119"/>
      <c r="V40" s="119"/>
      <c r="W40" s="57"/>
      <c r="X40" s="57"/>
      <c r="Y40" s="57"/>
      <c r="Z40" s="52"/>
      <c r="AA40" s="57"/>
      <c r="AB40" s="57"/>
      <c r="AC40" s="52"/>
      <c r="AD40" s="52"/>
      <c r="AE40" s="57"/>
      <c r="AF40" s="57"/>
      <c r="AG40" s="52"/>
      <c r="AH40" s="52"/>
      <c r="AI40" s="52"/>
      <c r="AJ40" s="52"/>
      <c r="AK40" s="17"/>
    </row>
    <row r="41" spans="1:37" ht="28.5" customHeight="1">
      <c r="A41" s="104"/>
      <c r="B41" s="80"/>
      <c r="C41" s="181" t="s">
        <v>115</v>
      </c>
      <c r="D41" s="182"/>
      <c r="E41" s="182"/>
      <c r="F41" s="182"/>
      <c r="G41" s="182"/>
      <c r="H41" s="182"/>
      <c r="I41" s="182"/>
      <c r="J41" s="182"/>
      <c r="K41" s="182"/>
      <c r="L41" s="182"/>
      <c r="M41" s="182"/>
      <c r="N41" s="183"/>
      <c r="O41" s="119"/>
      <c r="P41" s="119" t="s">
        <v>83</v>
      </c>
      <c r="Q41" s="119"/>
      <c r="R41" s="119" t="s">
        <v>83</v>
      </c>
      <c r="S41" s="119"/>
      <c r="T41" s="119" t="s">
        <v>83</v>
      </c>
      <c r="U41" s="119"/>
      <c r="V41" s="119" t="s">
        <v>83</v>
      </c>
      <c r="W41" s="57"/>
      <c r="X41" s="57"/>
      <c r="Y41" s="57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17"/>
    </row>
    <row r="42" spans="1:37" ht="15" customHeight="1">
      <c r="A42" s="56"/>
      <c r="B42" s="92" t="s">
        <v>77</v>
      </c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4"/>
      <c r="O42" s="119" t="s">
        <v>83</v>
      </c>
      <c r="P42" s="119"/>
      <c r="Q42" s="119" t="s">
        <v>83</v>
      </c>
      <c r="R42" s="119"/>
      <c r="S42" s="119" t="s">
        <v>83</v>
      </c>
      <c r="T42" s="119"/>
      <c r="U42" s="119" t="s">
        <v>83</v>
      </c>
      <c r="V42" s="119"/>
      <c r="W42" s="125" t="s">
        <v>83</v>
      </c>
      <c r="X42" s="125" t="s">
        <v>83</v>
      </c>
      <c r="Y42" s="57"/>
      <c r="Z42" s="57"/>
      <c r="AA42" s="57"/>
      <c r="AB42" s="57"/>
      <c r="AC42" s="52"/>
      <c r="AD42" s="52"/>
      <c r="AE42" s="57"/>
      <c r="AF42" s="57"/>
      <c r="AG42" s="52"/>
      <c r="AH42" s="52"/>
      <c r="AI42" s="52"/>
      <c r="AJ42" s="52"/>
      <c r="AK42" s="17"/>
    </row>
    <row r="43" spans="1:37" ht="15" customHeight="1">
      <c r="A43" s="56"/>
      <c r="B43" s="80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119"/>
      <c r="P43" s="119"/>
      <c r="Q43" s="119"/>
      <c r="R43" s="119"/>
      <c r="S43" s="119"/>
      <c r="T43" s="119"/>
      <c r="U43" s="119"/>
      <c r="V43" s="119"/>
      <c r="W43" s="57"/>
      <c r="X43" s="57"/>
      <c r="Y43" s="57"/>
      <c r="Z43" s="57"/>
      <c r="AA43" s="57"/>
      <c r="AB43" s="57"/>
      <c r="AC43" s="57"/>
      <c r="AD43" s="52"/>
      <c r="AE43" s="52"/>
      <c r="AF43" s="52"/>
      <c r="AG43" s="52"/>
      <c r="AH43" s="52"/>
      <c r="AI43" s="52"/>
      <c r="AJ43" s="52"/>
      <c r="AK43" s="17"/>
    </row>
    <row r="44" spans="1:37" ht="15" customHeight="1">
      <c r="A44" s="56"/>
      <c r="B44" s="80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119"/>
      <c r="P44" s="119"/>
      <c r="Q44" s="119"/>
      <c r="R44" s="119"/>
      <c r="S44" s="119"/>
      <c r="T44" s="119"/>
      <c r="U44" s="119"/>
      <c r="V44" s="119"/>
      <c r="W44" s="57"/>
      <c r="X44" s="57"/>
      <c r="Y44" s="57"/>
      <c r="Z44" s="57"/>
      <c r="AA44" s="57"/>
      <c r="AB44" s="57"/>
      <c r="AC44" s="57"/>
      <c r="AD44" s="52"/>
      <c r="AE44" s="52"/>
      <c r="AF44" s="52"/>
      <c r="AG44" s="52"/>
      <c r="AH44" s="52"/>
      <c r="AI44" s="52"/>
      <c r="AJ44" s="52"/>
      <c r="AK44" s="17"/>
    </row>
    <row r="45" spans="1:37" ht="15" customHeight="1">
      <c r="A45" s="56"/>
      <c r="B45" s="80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119"/>
      <c r="P45" s="119"/>
      <c r="Q45" s="119"/>
      <c r="R45" s="119"/>
      <c r="S45" s="119"/>
      <c r="T45" s="119"/>
      <c r="U45" s="119"/>
      <c r="V45" s="119"/>
      <c r="W45" s="57"/>
      <c r="X45" s="57"/>
      <c r="Y45" s="57"/>
      <c r="Z45" s="57"/>
      <c r="AA45" s="57"/>
      <c r="AB45" s="57"/>
      <c r="AC45" s="57"/>
      <c r="AD45" s="52"/>
      <c r="AE45" s="52"/>
      <c r="AF45" s="52"/>
      <c r="AG45" s="52"/>
      <c r="AH45" s="52"/>
      <c r="AI45" s="52"/>
      <c r="AJ45" s="52"/>
      <c r="AK45" s="17"/>
    </row>
    <row r="46" spans="1:37" ht="15" customHeight="1">
      <c r="A46" s="56"/>
      <c r="B46" s="80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8"/>
      <c r="O46" s="119"/>
      <c r="P46" s="119"/>
      <c r="Q46" s="118"/>
      <c r="R46" s="119"/>
      <c r="S46" s="119"/>
      <c r="T46" s="119"/>
      <c r="U46" s="118"/>
      <c r="V46" s="119"/>
      <c r="W46" s="52"/>
      <c r="X46" s="52"/>
      <c r="Y46" s="52"/>
      <c r="Z46" s="57"/>
      <c r="AA46" s="57"/>
      <c r="AB46" s="57"/>
      <c r="AC46" s="52"/>
      <c r="AD46" s="52"/>
      <c r="AE46" s="57"/>
      <c r="AF46" s="57"/>
      <c r="AG46" s="52"/>
      <c r="AH46" s="52"/>
      <c r="AI46" s="52"/>
      <c r="AJ46" s="52"/>
      <c r="AK46" s="53"/>
    </row>
    <row r="47" spans="1:37" ht="15" customHeight="1">
      <c r="A47" s="56"/>
      <c r="B47" s="80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119"/>
      <c r="P47" s="119"/>
      <c r="Q47" s="119"/>
      <c r="R47" s="119"/>
      <c r="S47" s="119"/>
      <c r="T47" s="119"/>
      <c r="U47" s="119"/>
      <c r="V47" s="119"/>
      <c r="W47" s="57"/>
      <c r="X47" s="57"/>
      <c r="Y47" s="57"/>
      <c r="Z47" s="57"/>
      <c r="AA47" s="57"/>
      <c r="AB47" s="57"/>
      <c r="AC47" s="52"/>
      <c r="AD47" s="57"/>
      <c r="AE47" s="52"/>
      <c r="AF47" s="52"/>
      <c r="AG47" s="52"/>
      <c r="AH47" s="52"/>
      <c r="AI47" s="52"/>
      <c r="AJ47" s="52"/>
      <c r="AK47" s="17"/>
    </row>
    <row r="48" spans="1:37" ht="15" customHeight="1">
      <c r="A48" s="56"/>
      <c r="B48" s="80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8"/>
      <c r="O48" s="119"/>
      <c r="P48" s="119"/>
      <c r="Q48" s="119"/>
      <c r="R48" s="119"/>
      <c r="S48" s="119"/>
      <c r="T48" s="119"/>
      <c r="U48" s="119"/>
      <c r="V48" s="119"/>
      <c r="W48" s="57"/>
      <c r="X48" s="57"/>
      <c r="Y48" s="57"/>
      <c r="Z48" s="57"/>
      <c r="AA48" s="57"/>
      <c r="AB48" s="57"/>
      <c r="AC48" s="57"/>
      <c r="AD48" s="52"/>
      <c r="AE48" s="52"/>
      <c r="AF48" s="52"/>
      <c r="AG48" s="52"/>
      <c r="AH48" s="52"/>
      <c r="AI48" s="52"/>
      <c r="AJ48" s="52"/>
      <c r="AK48" s="17"/>
    </row>
    <row r="49" spans="1:37" ht="15" customHeight="1">
      <c r="A49" s="56"/>
      <c r="B49" s="80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119"/>
      <c r="P49" s="119"/>
      <c r="Q49" s="119"/>
      <c r="R49" s="119"/>
      <c r="S49" s="119"/>
      <c r="T49" s="119"/>
      <c r="U49" s="119"/>
      <c r="V49" s="119"/>
      <c r="W49" s="57"/>
      <c r="X49" s="57"/>
      <c r="Y49" s="57"/>
      <c r="Z49" s="57"/>
      <c r="AA49" s="57"/>
      <c r="AB49" s="57"/>
      <c r="AC49" s="57"/>
      <c r="AD49" s="52"/>
      <c r="AE49" s="52"/>
      <c r="AF49" s="52"/>
      <c r="AG49" s="52"/>
      <c r="AH49" s="52"/>
      <c r="AI49" s="52"/>
      <c r="AJ49" s="52"/>
      <c r="AK49" s="17"/>
    </row>
    <row r="50" spans="1:37" ht="15" customHeight="1">
      <c r="A50" s="56"/>
      <c r="B50" s="80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119"/>
      <c r="P50" s="119"/>
      <c r="Q50" s="119"/>
      <c r="R50" s="119"/>
      <c r="S50" s="119"/>
      <c r="T50" s="119"/>
      <c r="U50" s="119"/>
      <c r="V50" s="119"/>
      <c r="W50" s="57"/>
      <c r="X50" s="57"/>
      <c r="Y50" s="57"/>
      <c r="Z50" s="57"/>
      <c r="AA50" s="57"/>
      <c r="AB50" s="57"/>
      <c r="AC50" s="57"/>
      <c r="AD50" s="52"/>
      <c r="AE50" s="52"/>
      <c r="AF50" s="52"/>
      <c r="AG50" s="52"/>
      <c r="AH50" s="52"/>
      <c r="AI50" s="52"/>
      <c r="AJ50" s="52"/>
      <c r="AK50" s="17"/>
    </row>
    <row r="51" spans="1:37" ht="15" customHeight="1">
      <c r="A51" s="56"/>
      <c r="B51" s="79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2"/>
      <c r="O51" s="119"/>
      <c r="P51" s="119"/>
      <c r="Q51" s="119"/>
      <c r="R51" s="119"/>
      <c r="S51" s="119"/>
      <c r="T51" s="119"/>
      <c r="U51" s="119"/>
      <c r="V51" s="119"/>
      <c r="W51" s="57"/>
      <c r="X51" s="57"/>
      <c r="Y51" s="57"/>
      <c r="Z51" s="57"/>
      <c r="AA51" s="57"/>
      <c r="AB51" s="57"/>
      <c r="AC51" s="57"/>
      <c r="AD51" s="52"/>
      <c r="AE51" s="52"/>
      <c r="AF51" s="52"/>
      <c r="AG51" s="52"/>
      <c r="AH51" s="52"/>
      <c r="AI51" s="52"/>
      <c r="AJ51" s="52"/>
      <c r="AK51" s="17"/>
    </row>
    <row r="52" spans="1:37" ht="15" customHeight="1">
      <c r="A52" s="10"/>
      <c r="C52" s="19"/>
      <c r="D52" s="184" t="s">
        <v>48</v>
      </c>
      <c r="E52" s="185"/>
      <c r="F52" s="185"/>
      <c r="G52" s="185"/>
      <c r="H52" s="185"/>
      <c r="I52" s="186"/>
      <c r="J52" s="59"/>
      <c r="N52" s="20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2"/>
    </row>
    <row r="53" spans="1:37" ht="15" customHeight="1">
      <c r="A53" s="60"/>
      <c r="B53" s="61"/>
      <c r="C53" s="62"/>
      <c r="D53" s="184"/>
      <c r="E53" s="185"/>
      <c r="F53" s="185"/>
      <c r="G53" s="185"/>
      <c r="H53" s="185"/>
      <c r="I53" s="186"/>
      <c r="J53" s="13"/>
      <c r="K53" s="14"/>
      <c r="L53" s="14"/>
      <c r="M53" s="14"/>
      <c r="N53" s="15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7"/>
    </row>
    <row r="54" spans="1:37" ht="15" customHeight="1">
      <c r="A54" s="18"/>
      <c r="C54" s="19"/>
      <c r="D54" s="184"/>
      <c r="E54" s="185"/>
      <c r="F54" s="185"/>
      <c r="G54" s="185"/>
      <c r="H54" s="185"/>
      <c r="I54" s="186"/>
      <c r="M54" s="19"/>
      <c r="N54" s="20"/>
      <c r="O54" s="68" t="str">
        <f t="shared" ref="O54:AK54" si="0">IF(O55&lt;&gt;"",MONTH(O55),"")</f>
        <v/>
      </c>
      <c r="P54" s="68" t="str">
        <f t="shared" si="0"/>
        <v/>
      </c>
      <c r="Q54" s="68" t="str">
        <f t="shared" si="0"/>
        <v/>
      </c>
      <c r="R54" s="68" t="str">
        <f t="shared" si="0"/>
        <v/>
      </c>
      <c r="S54" s="68" t="str">
        <f t="shared" si="0"/>
        <v/>
      </c>
      <c r="T54" s="68" t="str">
        <f t="shared" si="0"/>
        <v/>
      </c>
      <c r="U54" s="68" t="str">
        <f t="shared" si="0"/>
        <v/>
      </c>
      <c r="V54" s="68" t="str">
        <f t="shared" si="0"/>
        <v/>
      </c>
      <c r="W54" s="68" t="str">
        <f t="shared" si="0"/>
        <v/>
      </c>
      <c r="X54" s="68" t="str">
        <f t="shared" si="0"/>
        <v/>
      </c>
      <c r="Y54" s="68" t="str">
        <f t="shared" si="0"/>
        <v/>
      </c>
      <c r="Z54" s="68" t="str">
        <f t="shared" si="0"/>
        <v/>
      </c>
      <c r="AA54" s="68" t="str">
        <f t="shared" si="0"/>
        <v/>
      </c>
      <c r="AB54" s="68" t="str">
        <f t="shared" si="0"/>
        <v/>
      </c>
      <c r="AC54" s="68" t="str">
        <f t="shared" si="0"/>
        <v/>
      </c>
      <c r="AD54" s="68" t="str">
        <f t="shared" si="0"/>
        <v/>
      </c>
      <c r="AE54" s="68" t="str">
        <f t="shared" si="0"/>
        <v/>
      </c>
      <c r="AF54" s="68" t="str">
        <f t="shared" si="0"/>
        <v/>
      </c>
      <c r="AG54" s="68" t="str">
        <f t="shared" si="0"/>
        <v/>
      </c>
      <c r="AH54" s="68" t="str">
        <f t="shared" si="0"/>
        <v/>
      </c>
      <c r="AI54" s="68" t="str">
        <f t="shared" si="0"/>
        <v/>
      </c>
      <c r="AJ54" s="68" t="str">
        <f t="shared" si="0"/>
        <v/>
      </c>
      <c r="AK54" s="69" t="str">
        <f t="shared" si="0"/>
        <v/>
      </c>
    </row>
    <row r="55" spans="1:37" ht="15" customHeight="1">
      <c r="A55" s="21"/>
      <c r="B55" s="14"/>
      <c r="C55" s="22"/>
      <c r="D55" s="187"/>
      <c r="E55" s="188"/>
      <c r="F55" s="188"/>
      <c r="G55" s="188"/>
      <c r="H55" s="188"/>
      <c r="I55" s="189"/>
      <c r="M55" s="19"/>
      <c r="N55" s="15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1"/>
    </row>
    <row r="56" spans="1:37" ht="15" customHeight="1">
      <c r="A56" s="167" t="s">
        <v>43</v>
      </c>
      <c r="B56" s="168"/>
      <c r="C56" s="169"/>
      <c r="D56" s="177"/>
      <c r="E56" s="175"/>
      <c r="F56" s="175"/>
      <c r="G56" s="175"/>
      <c r="H56" s="175"/>
      <c r="I56" s="176"/>
      <c r="M56" s="19"/>
      <c r="N56" s="20"/>
      <c r="O56" s="68" t="str">
        <f t="shared" ref="O56:AK56" si="1">IF(O57&lt;&gt;"",MONTH(O57),"")</f>
        <v/>
      </c>
      <c r="P56" s="68" t="str">
        <f t="shared" si="1"/>
        <v/>
      </c>
      <c r="Q56" s="68" t="str">
        <f t="shared" si="1"/>
        <v/>
      </c>
      <c r="R56" s="68" t="str">
        <f t="shared" si="1"/>
        <v/>
      </c>
      <c r="S56" s="68" t="str">
        <f t="shared" si="1"/>
        <v/>
      </c>
      <c r="T56" s="68" t="str">
        <f t="shared" si="1"/>
        <v/>
      </c>
      <c r="U56" s="68" t="str">
        <f t="shared" si="1"/>
        <v/>
      </c>
      <c r="V56" s="68" t="str">
        <f t="shared" si="1"/>
        <v/>
      </c>
      <c r="W56" s="68" t="str">
        <f t="shared" si="1"/>
        <v/>
      </c>
      <c r="X56" s="68" t="str">
        <f t="shared" si="1"/>
        <v/>
      </c>
      <c r="Y56" s="68" t="str">
        <f t="shared" si="1"/>
        <v/>
      </c>
      <c r="Z56" s="68" t="str">
        <f t="shared" si="1"/>
        <v/>
      </c>
      <c r="AA56" s="68" t="str">
        <f t="shared" si="1"/>
        <v/>
      </c>
      <c r="AB56" s="68" t="str">
        <f t="shared" si="1"/>
        <v/>
      </c>
      <c r="AC56" s="68" t="str">
        <f t="shared" si="1"/>
        <v/>
      </c>
      <c r="AD56" s="68" t="str">
        <f t="shared" si="1"/>
        <v/>
      </c>
      <c r="AE56" s="68" t="str">
        <f t="shared" si="1"/>
        <v/>
      </c>
      <c r="AF56" s="68" t="str">
        <f t="shared" si="1"/>
        <v/>
      </c>
      <c r="AG56" s="68" t="str">
        <f t="shared" si="1"/>
        <v/>
      </c>
      <c r="AH56" s="68" t="str">
        <f t="shared" si="1"/>
        <v/>
      </c>
      <c r="AI56" s="68" t="str">
        <f t="shared" si="1"/>
        <v/>
      </c>
      <c r="AJ56" s="68" t="str">
        <f t="shared" si="1"/>
        <v/>
      </c>
      <c r="AK56" s="69" t="str">
        <f t="shared" si="1"/>
        <v/>
      </c>
    </row>
    <row r="57" spans="1:37" ht="15" customHeight="1">
      <c r="A57" s="167" t="s">
        <v>44</v>
      </c>
      <c r="B57" s="168"/>
      <c r="C57" s="169"/>
      <c r="D57" s="190"/>
      <c r="E57" s="191"/>
      <c r="F57" s="191"/>
      <c r="G57" s="191"/>
      <c r="H57" s="191"/>
      <c r="I57" s="192"/>
      <c r="J57" s="14"/>
      <c r="K57" s="14"/>
      <c r="L57" s="14"/>
      <c r="M57" s="22"/>
      <c r="N57" s="15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3"/>
    </row>
    <row r="58" spans="1:37" ht="15" customHeight="1">
      <c r="A58" s="167" t="s">
        <v>16</v>
      </c>
      <c r="B58" s="168"/>
      <c r="C58" s="169"/>
      <c r="D58" s="170"/>
      <c r="E58" s="171"/>
      <c r="F58" s="171"/>
      <c r="G58" s="171"/>
      <c r="H58" s="171"/>
      <c r="I58" s="172"/>
      <c r="J58" s="14"/>
      <c r="K58" s="14"/>
      <c r="L58" s="14"/>
      <c r="M58" s="23" t="s">
        <v>17</v>
      </c>
      <c r="N58" s="15"/>
      <c r="O58" s="16" t="s">
        <v>45</v>
      </c>
      <c r="P58" s="16" t="s">
        <v>45</v>
      </c>
      <c r="Q58" s="16" t="s">
        <v>45</v>
      </c>
      <c r="R58" s="16" t="s">
        <v>45</v>
      </c>
      <c r="S58" s="16" t="s">
        <v>45</v>
      </c>
      <c r="T58" s="16" t="s">
        <v>45</v>
      </c>
      <c r="U58" s="16" t="s">
        <v>45</v>
      </c>
      <c r="V58" s="16" t="s">
        <v>45</v>
      </c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7"/>
    </row>
    <row r="59" spans="1:37" ht="15" customHeight="1">
      <c r="A59" s="167" t="s">
        <v>18</v>
      </c>
      <c r="B59" s="168"/>
      <c r="C59" s="169"/>
      <c r="D59" s="173"/>
      <c r="E59" s="168"/>
      <c r="F59" s="168"/>
      <c r="G59" s="168"/>
      <c r="H59" s="168"/>
      <c r="I59" s="169"/>
      <c r="J59" s="14"/>
      <c r="K59" s="14"/>
      <c r="L59" s="14"/>
      <c r="M59" s="23" t="s">
        <v>19</v>
      </c>
      <c r="N59" s="15"/>
      <c r="O59" s="16" t="s">
        <v>46</v>
      </c>
      <c r="P59" s="16" t="s">
        <v>46</v>
      </c>
      <c r="Q59" s="16" t="s">
        <v>46</v>
      </c>
      <c r="R59" s="16" t="s">
        <v>46</v>
      </c>
      <c r="S59" s="16" t="s">
        <v>46</v>
      </c>
      <c r="T59" s="16" t="s">
        <v>46</v>
      </c>
      <c r="U59" s="16" t="s">
        <v>46</v>
      </c>
      <c r="V59" s="16" t="s">
        <v>46</v>
      </c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7"/>
    </row>
    <row r="60" spans="1:37" ht="15" customHeight="1">
      <c r="A60" s="174" t="s">
        <v>20</v>
      </c>
      <c r="B60" s="175"/>
      <c r="C60" s="176"/>
      <c r="D60" s="177" t="s">
        <v>21</v>
      </c>
      <c r="E60" s="175"/>
      <c r="F60" s="175"/>
      <c r="G60" s="175"/>
      <c r="H60" s="175"/>
      <c r="I60" s="176"/>
      <c r="N60" s="20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2"/>
    </row>
    <row r="61" spans="1:37" ht="15" customHeight="1">
      <c r="A61" s="18"/>
      <c r="C61" s="19"/>
      <c r="E61" s="88" t="s">
        <v>22</v>
      </c>
      <c r="H61" s="88" t="s">
        <v>23</v>
      </c>
      <c r="I61" s="19"/>
      <c r="M61" s="88" t="s">
        <v>24</v>
      </c>
      <c r="N61" s="20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2"/>
    </row>
    <row r="62" spans="1:37" ht="15" customHeight="1">
      <c r="A62" s="18"/>
      <c r="C62" s="19"/>
      <c r="I62" s="19"/>
      <c r="J62" s="14"/>
      <c r="K62" s="14"/>
      <c r="L62" s="14"/>
      <c r="M62" s="14"/>
      <c r="N62" s="15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7"/>
    </row>
    <row r="63" spans="1:37" ht="15" customHeight="1">
      <c r="A63" s="161" t="s">
        <v>47</v>
      </c>
      <c r="B63" s="162"/>
      <c r="C63" s="163"/>
      <c r="I63" s="19"/>
      <c r="N63" s="20"/>
      <c r="O63" s="5" t="s">
        <v>40</v>
      </c>
      <c r="P63" s="25"/>
      <c r="Q63" s="25"/>
      <c r="R63" s="25"/>
      <c r="S63" s="25"/>
      <c r="T63" s="25"/>
      <c r="V63" s="19"/>
      <c r="AA63" s="19"/>
      <c r="AF63" s="39" t="s">
        <v>2</v>
      </c>
      <c r="AG63" s="36">
        <f>COUNTIF(O58:AK58,"A")</f>
        <v>8</v>
      </c>
      <c r="AH63" s="40" t="s">
        <v>3</v>
      </c>
      <c r="AI63" s="36">
        <f>COUNTIF(O58:AK58,"B")</f>
        <v>0</v>
      </c>
      <c r="AJ63" s="40" t="s">
        <v>4</v>
      </c>
      <c r="AK63" s="34">
        <f>COUNTIF(O58:AK58,"C")</f>
        <v>0</v>
      </c>
    </row>
    <row r="64" spans="1:37" ht="15" customHeight="1">
      <c r="A64" s="18"/>
      <c r="C64" s="19"/>
      <c r="I64" s="19"/>
      <c r="K64" s="1"/>
      <c r="L64" s="1"/>
      <c r="M64" s="1"/>
      <c r="N64" s="54"/>
      <c r="O64" s="5" t="s">
        <v>41</v>
      </c>
      <c r="Q64" s="26"/>
      <c r="V64" s="19"/>
      <c r="Y64" s="88" t="s">
        <v>25</v>
      </c>
      <c r="AA64" s="19"/>
      <c r="AB64" s="45"/>
      <c r="AC64" s="44">
        <v>1</v>
      </c>
      <c r="AD64" s="33"/>
      <c r="AE64" s="44">
        <v>1</v>
      </c>
      <c r="AF64" s="41" t="s">
        <v>5</v>
      </c>
      <c r="AG64" s="37">
        <f>COUNTIF(M59:AI59,"N")</f>
        <v>8</v>
      </c>
      <c r="AH64" s="42" t="s">
        <v>2</v>
      </c>
      <c r="AI64" s="37">
        <f>COUNTIF(O59:AK59,"A")</f>
        <v>0</v>
      </c>
      <c r="AJ64" s="42" t="s">
        <v>3</v>
      </c>
      <c r="AK64" s="35">
        <f>COUNTIF(O59:AK59,"B")</f>
        <v>0</v>
      </c>
    </row>
    <row r="65" spans="1:37" ht="15" customHeight="1" thickBot="1">
      <c r="A65" s="85"/>
      <c r="B65" s="89"/>
      <c r="C65" s="90"/>
      <c r="D65" s="164"/>
      <c r="E65" s="165"/>
      <c r="F65" s="165"/>
      <c r="G65" s="165"/>
      <c r="H65" s="165"/>
      <c r="I65" s="166"/>
      <c r="J65" s="28"/>
      <c r="K65" s="63"/>
      <c r="L65" s="63"/>
      <c r="M65" s="63"/>
      <c r="N65" s="29"/>
      <c r="O65" s="28"/>
      <c r="P65" s="28"/>
      <c r="Q65" s="28"/>
      <c r="R65" s="28"/>
      <c r="S65" s="28"/>
      <c r="T65" s="28"/>
      <c r="U65" s="28"/>
      <c r="V65" s="27"/>
      <c r="W65" s="28"/>
      <c r="X65" s="28"/>
      <c r="Y65" s="28"/>
      <c r="Z65" s="28"/>
      <c r="AA65" s="27"/>
      <c r="AB65" s="28"/>
      <c r="AC65" s="28"/>
      <c r="AD65" s="28"/>
      <c r="AE65" s="28"/>
      <c r="AF65" s="32" t="s">
        <v>6</v>
      </c>
      <c r="AG65" s="28"/>
      <c r="AH65" s="38"/>
      <c r="AI65" s="43">
        <f>SUM(AF63:AK63)</f>
        <v>8</v>
      </c>
      <c r="AJ65" s="28"/>
      <c r="AK65" s="30"/>
    </row>
  </sheetData>
  <mergeCells count="19">
    <mergeCell ref="D52:I55"/>
    <mergeCell ref="C21:N21"/>
    <mergeCell ref="C22:N22"/>
    <mergeCell ref="C25:N25"/>
    <mergeCell ref="C26:N26"/>
    <mergeCell ref="C41:N41"/>
    <mergeCell ref="D65:F65"/>
    <mergeCell ref="G65:I65"/>
    <mergeCell ref="A56:C56"/>
    <mergeCell ref="D56:I56"/>
    <mergeCell ref="A57:C57"/>
    <mergeCell ref="D57:I57"/>
    <mergeCell ref="A58:C58"/>
    <mergeCell ref="D58:I58"/>
    <mergeCell ref="A59:C59"/>
    <mergeCell ref="D59:I59"/>
    <mergeCell ref="A60:C60"/>
    <mergeCell ref="D60:I60"/>
    <mergeCell ref="A63:C63"/>
  </mergeCells>
  <phoneticPr fontId="16"/>
  <printOptions verticalCentered="1" gridLinesSet="0"/>
  <pageMargins left="0.59055118110236227" right="0.31496062992125984" top="0.39370078740157483" bottom="0.39370078740157483" header="0.51181102362204722" footer="0.39370078740157483"/>
  <pageSetup paperSize="9" scale="74" orientation="portrait" horizontalDpi="4294967292" verticalDpi="4294967292" r:id="rId1"/>
  <headerFooter alignWithMargins="0">
    <oddFooter>&amp;R&amp;"ＭＳ 明朝,斜体"&amp;8All Rights Reserved,Copy Right 2002,Hitachi Software Engineering Co.,Ltd.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4545" r:id="rId4" name="Button 1">
              <controlPr defaultSize="0" print="0" autoFill="0" autoLine="0" autoPict="0" macro="[0]!リスト5_Change">
                <anchor moveWithCells="1" sizeWithCells="1">
                  <from>
                    <xdr:col>0</xdr:col>
                    <xdr:colOff>76200</xdr:colOff>
                    <xdr:row>65</xdr:row>
                    <xdr:rowOff>114300</xdr:rowOff>
                  </from>
                  <to>
                    <xdr:col>5</xdr:col>
                    <xdr:colOff>142875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6" r:id="rId5" name="Button 2">
              <controlPr defaultSize="0" print="0" autoFill="0" autoLine="0" autoPict="0" macro="[0]!DrawCheck.DrawCheck">
                <anchor moveWithCells="1" sizeWithCells="1">
                  <from>
                    <xdr:col>11</xdr:col>
                    <xdr:colOff>180975</xdr:colOff>
                    <xdr:row>1</xdr:row>
                    <xdr:rowOff>762000</xdr:rowOff>
                  </from>
                  <to>
                    <xdr:col>13</xdr:col>
                    <xdr:colOff>476250</xdr:colOff>
                    <xdr:row>1</xdr:row>
                    <xdr:rowOff>1066800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7" r:id="rId6" name="Button 3">
              <controlPr defaultSize="0" print="0" autoFill="0" autoLine="0" autoPict="0" macro="[0]!Cancel_Click">
                <anchor moveWithCells="1" sizeWithCells="1">
                  <from>
                    <xdr:col>11</xdr:col>
                    <xdr:colOff>180975</xdr:colOff>
                    <xdr:row>1</xdr:row>
                    <xdr:rowOff>419100</xdr:rowOff>
                  </from>
                  <to>
                    <xdr:col>13</xdr:col>
                    <xdr:colOff>476250</xdr:colOff>
                    <xdr:row>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8" r:id="rId7" name="Button 4">
              <controlPr defaultSize="0" print="0" autoFill="0" autoLine="0" autoPict="0" macro="[0]!ボタン41_Click">
                <anchor moveWithCells="1" sizeWithCells="1">
                  <from>
                    <xdr:col>1</xdr:col>
                    <xdr:colOff>0</xdr:colOff>
                    <xdr:row>1</xdr:row>
                    <xdr:rowOff>1000125</xdr:rowOff>
                  </from>
                  <to>
                    <xdr:col>4</xdr:col>
                    <xdr:colOff>133350</xdr:colOff>
                    <xdr:row>1</xdr:row>
                    <xdr:rowOff>1352550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9" r:id="rId8" name="Button 5">
              <controlPr defaultSize="0" print="0" autoFill="0" autoLine="0" autoPict="0" macro="[0]!ENTER_A">
                <anchor moveWithCells="1" sizeWithCells="1">
                  <from>
                    <xdr:col>10</xdr:col>
                    <xdr:colOff>209550</xdr:colOff>
                    <xdr:row>1</xdr:row>
                    <xdr:rowOff>1257300</xdr:rowOff>
                  </from>
                  <to>
                    <xdr:col>12</xdr:col>
                    <xdr:colOff>38100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50" r:id="rId9" name="Button 6">
              <controlPr defaultSize="0" print="0" autoFill="0" autoLine="0" autoPict="0" macro="[0]!ENTER_B">
                <anchor moveWithCells="1" sizeWithCells="1">
                  <from>
                    <xdr:col>12</xdr:col>
                    <xdr:colOff>47625</xdr:colOff>
                    <xdr:row>1</xdr:row>
                    <xdr:rowOff>1257300</xdr:rowOff>
                  </from>
                  <to>
                    <xdr:col>13</xdr:col>
                    <xdr:colOff>142875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51" r:id="rId10" name="Button 7">
              <controlPr defaultSize="0" print="0" autoFill="0" autoLine="0" autoPict="0" macro="[0]!ENTER_C">
                <anchor moveWithCells="1" sizeWithCells="1">
                  <from>
                    <xdr:col>13</xdr:col>
                    <xdr:colOff>161925</xdr:colOff>
                    <xdr:row>1</xdr:row>
                    <xdr:rowOff>1257300</xdr:rowOff>
                  </from>
                  <to>
                    <xdr:col>13</xdr:col>
                    <xdr:colOff>485775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52" r:id="rId11" name="Button 8">
              <controlPr defaultSize="0" print="0" autoFill="0" autoLine="0" autoPict="0" macro="[0]!ENTER_N">
                <anchor moveWithCells="1" sizeWithCells="1">
                  <from>
                    <xdr:col>9</xdr:col>
                    <xdr:colOff>95250</xdr:colOff>
                    <xdr:row>1</xdr:row>
                    <xdr:rowOff>1257300</xdr:rowOff>
                  </from>
                  <to>
                    <xdr:col>10</xdr:col>
                    <xdr:colOff>200025</xdr:colOff>
                    <xdr:row>1</xdr:row>
                    <xdr:rowOff>1524000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D8B80-24E3-47B1-9C30-78572514FED2}">
  <sheetPr codeName="Sheet50">
    <pageSetUpPr fitToPage="1"/>
  </sheetPr>
  <dimension ref="A1:AO65"/>
  <sheetViews>
    <sheetView showGridLines="0" showOutlineSymbols="0" defaultGridColor="0" colorId="8" zoomScaleNormal="100" workbookViewId="0">
      <pane xSplit="14" ySplit="2" topLeftCell="O3" activePane="bottomRight" state="frozen"/>
      <selection activeCell="I22" sqref="I22"/>
      <selection pane="topRight" activeCell="I22" sqref="I22"/>
      <selection pane="bottomLeft" activeCell="I22" sqref="I22"/>
      <selection pane="bottomRight" activeCell="Z18" sqref="Z18"/>
    </sheetView>
  </sheetViews>
  <sheetFormatPr defaultColWidth="9.140625" defaultRowHeight="15" customHeight="1"/>
  <cols>
    <col min="1" max="13" width="3.5703125" style="5" customWidth="1"/>
    <col min="14" max="14" width="11.85546875" style="31" customWidth="1"/>
    <col min="15" max="238" width="3.5703125" style="5" customWidth="1"/>
    <col min="239" max="16384" width="9.140625" style="5"/>
  </cols>
  <sheetData>
    <row r="1" spans="1:41" ht="24.95" customHeight="1">
      <c r="A1" s="66" t="s">
        <v>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74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6"/>
    </row>
    <row r="2" spans="1:41" s="9" customFormat="1" ht="135" customHeight="1">
      <c r="A2" s="6"/>
      <c r="N2" s="58"/>
      <c r="O2" s="117" t="s">
        <v>215</v>
      </c>
      <c r="P2" s="117" t="s">
        <v>216</v>
      </c>
      <c r="Q2" s="117" t="s">
        <v>217</v>
      </c>
      <c r="R2" s="117" t="s">
        <v>218</v>
      </c>
      <c r="S2" s="117" t="s">
        <v>219</v>
      </c>
      <c r="T2" s="117" t="s">
        <v>220</v>
      </c>
      <c r="U2" s="117" t="s">
        <v>221</v>
      </c>
      <c r="V2" s="117" t="s">
        <v>222</v>
      </c>
      <c r="W2" s="67" t="s">
        <v>223</v>
      </c>
      <c r="X2" s="67" t="s">
        <v>224</v>
      </c>
      <c r="Y2" s="67"/>
      <c r="Z2" s="67"/>
      <c r="AA2" s="67"/>
      <c r="AB2" s="67"/>
      <c r="AC2" s="67"/>
      <c r="AD2" s="67"/>
      <c r="AE2" s="64"/>
      <c r="AF2" s="64"/>
      <c r="AG2" s="64"/>
      <c r="AH2" s="64"/>
      <c r="AI2" s="64"/>
      <c r="AJ2" s="64"/>
      <c r="AK2" s="65"/>
      <c r="AL2" s="7"/>
      <c r="AM2" s="8"/>
      <c r="AN2" s="7"/>
    </row>
    <row r="3" spans="1:41" ht="15" customHeight="1">
      <c r="A3" s="55"/>
      <c r="B3" s="80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8"/>
      <c r="O3" s="119"/>
      <c r="P3" s="119"/>
      <c r="Q3" s="119"/>
      <c r="R3" s="118"/>
      <c r="S3" s="119"/>
      <c r="T3" s="119"/>
      <c r="U3" s="119"/>
      <c r="V3" s="118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3"/>
    </row>
    <row r="4" spans="1:41" ht="15" customHeight="1">
      <c r="A4" s="56"/>
      <c r="B4" s="96" t="s">
        <v>125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8"/>
      <c r="O4" s="119"/>
      <c r="P4" s="119"/>
      <c r="Q4" s="119"/>
      <c r="R4" s="119"/>
      <c r="S4" s="119"/>
      <c r="T4" s="119"/>
      <c r="U4" s="119"/>
      <c r="V4" s="119"/>
      <c r="W4" s="57"/>
      <c r="X4" s="57"/>
      <c r="Y4" s="52"/>
      <c r="Z4" s="57"/>
      <c r="AA4" s="57"/>
      <c r="AB4" s="57"/>
      <c r="AC4" s="57"/>
      <c r="AD4" s="52"/>
      <c r="AE4" s="57"/>
      <c r="AF4" s="57"/>
      <c r="AG4" s="57"/>
      <c r="AH4" s="52"/>
      <c r="AI4" s="52"/>
      <c r="AJ4" s="52"/>
      <c r="AK4" s="53"/>
      <c r="AM4" s="120"/>
      <c r="AN4" s="120"/>
      <c r="AO4" s="116" t="s">
        <v>123</v>
      </c>
    </row>
    <row r="5" spans="1:41" ht="15" customHeight="1">
      <c r="A5" s="91"/>
      <c r="B5" s="59"/>
      <c r="C5" s="92" t="s">
        <v>129</v>
      </c>
      <c r="D5" s="93"/>
      <c r="E5" s="93"/>
      <c r="F5" s="93"/>
      <c r="G5" s="93"/>
      <c r="H5" s="93"/>
      <c r="I5" s="93"/>
      <c r="J5" s="93"/>
      <c r="K5" s="93"/>
      <c r="L5" s="93"/>
      <c r="M5" s="93"/>
      <c r="N5" s="94"/>
      <c r="O5" s="119" t="s">
        <v>83</v>
      </c>
      <c r="P5" s="119" t="s">
        <v>83</v>
      </c>
      <c r="Q5" s="119" t="s">
        <v>83</v>
      </c>
      <c r="R5" s="119" t="s">
        <v>83</v>
      </c>
      <c r="S5" s="119" t="s">
        <v>83</v>
      </c>
      <c r="T5" s="119" t="s">
        <v>83</v>
      </c>
      <c r="U5" s="119" t="s">
        <v>83</v>
      </c>
      <c r="V5" s="119" t="s">
        <v>83</v>
      </c>
      <c r="W5" s="57" t="s">
        <v>83</v>
      </c>
      <c r="X5" s="57" t="s">
        <v>83</v>
      </c>
      <c r="Y5" s="57"/>
      <c r="Z5" s="57"/>
      <c r="AA5" s="57"/>
      <c r="AB5" s="57"/>
      <c r="AC5" s="57"/>
      <c r="AD5" s="57"/>
      <c r="AE5" s="57"/>
      <c r="AF5" s="57"/>
      <c r="AG5" s="52"/>
      <c r="AH5" s="52"/>
      <c r="AI5" s="52"/>
      <c r="AJ5" s="52"/>
      <c r="AK5" s="53"/>
      <c r="AM5" s="116" t="s">
        <v>124</v>
      </c>
    </row>
    <row r="6" spans="1:41" ht="15" customHeight="1">
      <c r="A6" s="56" t="s">
        <v>49</v>
      </c>
      <c r="B6" s="96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8"/>
      <c r="O6" s="119"/>
      <c r="P6" s="119"/>
      <c r="Q6" s="118"/>
      <c r="R6" s="119"/>
      <c r="S6" s="119"/>
      <c r="T6" s="119"/>
      <c r="U6" s="118"/>
      <c r="V6" s="119"/>
      <c r="W6" s="52"/>
      <c r="X6" s="52"/>
      <c r="Y6" s="52"/>
      <c r="Z6" s="52"/>
      <c r="AA6" s="57"/>
      <c r="AB6" s="57"/>
      <c r="AC6" s="52"/>
      <c r="AD6" s="57"/>
      <c r="AE6" s="57"/>
      <c r="AF6" s="52"/>
      <c r="AG6" s="52"/>
      <c r="AH6" s="52"/>
      <c r="AI6" s="52"/>
      <c r="AJ6" s="52"/>
      <c r="AK6" s="53"/>
    </row>
    <row r="7" spans="1:41" ht="15" customHeight="1">
      <c r="A7" s="56" t="s">
        <v>8</v>
      </c>
      <c r="B7" s="96" t="s">
        <v>72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8"/>
      <c r="O7" s="119"/>
      <c r="P7" s="119"/>
      <c r="Q7" s="118"/>
      <c r="R7" s="119"/>
      <c r="S7" s="119"/>
      <c r="T7" s="119"/>
      <c r="U7" s="118"/>
      <c r="V7" s="119"/>
      <c r="W7" s="52"/>
      <c r="X7" s="52"/>
      <c r="Y7" s="57"/>
      <c r="Z7" s="57"/>
      <c r="AA7" s="57"/>
      <c r="AB7" s="57"/>
      <c r="AC7" s="52"/>
      <c r="AD7" s="57"/>
      <c r="AE7" s="57"/>
      <c r="AF7" s="57"/>
      <c r="AG7" s="52"/>
      <c r="AH7" s="57"/>
      <c r="AI7" s="52"/>
      <c r="AJ7" s="52"/>
      <c r="AK7" s="53"/>
    </row>
    <row r="8" spans="1:41" ht="15" customHeight="1">
      <c r="A8" s="56" t="s">
        <v>42</v>
      </c>
      <c r="B8" s="80"/>
      <c r="C8" s="96" t="s">
        <v>53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8"/>
      <c r="O8" s="119"/>
      <c r="P8" s="119"/>
      <c r="Q8" s="119"/>
      <c r="R8" s="119"/>
      <c r="S8" s="119"/>
      <c r="T8" s="119"/>
      <c r="U8" s="119"/>
      <c r="V8" s="119"/>
      <c r="W8" s="125"/>
      <c r="X8" s="125"/>
      <c r="Y8" s="125"/>
      <c r="Z8" s="125"/>
      <c r="AA8" s="57"/>
      <c r="AB8" s="52"/>
      <c r="AC8" s="57"/>
      <c r="AD8" s="52"/>
      <c r="AE8" s="57"/>
      <c r="AF8" s="57"/>
      <c r="AG8" s="57"/>
      <c r="AH8" s="57"/>
      <c r="AI8" s="52"/>
      <c r="AJ8" s="52"/>
      <c r="AK8" s="17"/>
    </row>
    <row r="9" spans="1:41" ht="15" customHeight="1">
      <c r="A9" s="56" t="s">
        <v>9</v>
      </c>
      <c r="B9" s="80"/>
      <c r="C9" s="99"/>
      <c r="D9" s="92" t="s">
        <v>54</v>
      </c>
      <c r="E9" s="93"/>
      <c r="F9" s="93"/>
      <c r="G9" s="93"/>
      <c r="H9" s="93"/>
      <c r="I9" s="93"/>
      <c r="J9" s="93"/>
      <c r="K9" s="93"/>
      <c r="L9" s="93"/>
      <c r="M9" s="93"/>
      <c r="N9" s="94"/>
      <c r="O9" s="119" t="s">
        <v>83</v>
      </c>
      <c r="P9" s="119" t="s">
        <v>83</v>
      </c>
      <c r="Q9" s="119" t="s">
        <v>83</v>
      </c>
      <c r="R9" s="119" t="s">
        <v>83</v>
      </c>
      <c r="S9" s="119" t="s">
        <v>83</v>
      </c>
      <c r="T9" s="119" t="s">
        <v>83</v>
      </c>
      <c r="U9" s="119" t="s">
        <v>83</v>
      </c>
      <c r="V9" s="119" t="s">
        <v>83</v>
      </c>
      <c r="W9" s="52"/>
      <c r="X9" s="52"/>
      <c r="Y9" s="52"/>
      <c r="Z9" s="52"/>
      <c r="AA9" s="52"/>
      <c r="AB9" s="52"/>
      <c r="AC9" s="57"/>
      <c r="AD9" s="52"/>
      <c r="AE9" s="57"/>
      <c r="AF9" s="57"/>
      <c r="AG9" s="57"/>
      <c r="AH9" s="57"/>
      <c r="AI9" s="52"/>
      <c r="AJ9" s="52"/>
      <c r="AK9" s="17"/>
    </row>
    <row r="10" spans="1:41" ht="15" customHeight="1">
      <c r="A10" s="56" t="s">
        <v>10</v>
      </c>
      <c r="B10" s="80"/>
      <c r="C10" s="99"/>
      <c r="D10" s="77" t="s">
        <v>79</v>
      </c>
      <c r="E10" s="77"/>
      <c r="F10" s="77"/>
      <c r="G10" s="77"/>
      <c r="H10" s="77"/>
      <c r="I10" s="77"/>
      <c r="J10" s="77"/>
      <c r="K10" s="77"/>
      <c r="L10" s="77"/>
      <c r="M10" s="77"/>
      <c r="N10" s="78"/>
      <c r="O10" s="119"/>
      <c r="P10" s="119"/>
      <c r="Q10" s="119"/>
      <c r="R10" s="119"/>
      <c r="S10" s="119"/>
      <c r="T10" s="118"/>
      <c r="U10" s="118"/>
      <c r="V10" s="118"/>
      <c r="W10" s="57" t="s">
        <v>83</v>
      </c>
      <c r="X10" s="57"/>
      <c r="Y10" s="52"/>
      <c r="Z10" s="52"/>
      <c r="AA10" s="52"/>
      <c r="AB10" s="52"/>
      <c r="AC10" s="57"/>
      <c r="AD10" s="52"/>
      <c r="AE10" s="57"/>
      <c r="AF10" s="57"/>
      <c r="AG10" s="57"/>
      <c r="AH10" s="57"/>
      <c r="AI10" s="52"/>
      <c r="AJ10" s="52"/>
      <c r="AK10" s="17"/>
    </row>
    <row r="11" spans="1:41" ht="15" customHeight="1">
      <c r="A11" s="56" t="s">
        <v>11</v>
      </c>
      <c r="B11" s="95"/>
      <c r="C11" s="95"/>
      <c r="D11" s="92" t="s">
        <v>80</v>
      </c>
      <c r="E11" s="93"/>
      <c r="F11" s="93"/>
      <c r="G11" s="93"/>
      <c r="H11" s="93"/>
      <c r="I11" s="93"/>
      <c r="J11" s="93"/>
      <c r="K11" s="93"/>
      <c r="L11" s="93"/>
      <c r="M11" s="93"/>
      <c r="N11" s="94"/>
      <c r="O11" s="119"/>
      <c r="P11" s="119"/>
      <c r="Q11" s="119"/>
      <c r="R11" s="119"/>
      <c r="S11" s="119"/>
      <c r="T11" s="118"/>
      <c r="U11" s="118"/>
      <c r="V11" s="118"/>
      <c r="W11" s="52"/>
      <c r="X11" s="57" t="s">
        <v>83</v>
      </c>
      <c r="Y11" s="57"/>
      <c r="Z11" s="57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17"/>
    </row>
    <row r="12" spans="1:41" ht="15" customHeight="1">
      <c r="A12" s="56"/>
      <c r="B12" s="80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119"/>
      <c r="P12" s="119"/>
      <c r="Q12" s="119"/>
      <c r="R12" s="119"/>
      <c r="S12" s="119"/>
      <c r="T12" s="119"/>
      <c r="U12" s="119"/>
      <c r="V12" s="119"/>
      <c r="W12" s="57"/>
      <c r="X12" s="52"/>
      <c r="Y12" s="57"/>
      <c r="Z12" s="52"/>
      <c r="AA12" s="57"/>
      <c r="AB12" s="52"/>
      <c r="AC12" s="57"/>
      <c r="AD12" s="52"/>
      <c r="AE12" s="57"/>
      <c r="AF12" s="57"/>
      <c r="AG12" s="57"/>
      <c r="AH12" s="57"/>
      <c r="AI12" s="52"/>
      <c r="AJ12" s="52"/>
      <c r="AK12" s="17"/>
    </row>
    <row r="13" spans="1:41" ht="15" customHeight="1">
      <c r="A13" s="56"/>
      <c r="B13" s="96" t="s">
        <v>113</v>
      </c>
      <c r="C13" s="96"/>
      <c r="D13" s="96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19"/>
      <c r="P13" s="119"/>
      <c r="Q13" s="119"/>
      <c r="R13" s="119"/>
      <c r="S13" s="119"/>
      <c r="T13" s="119"/>
      <c r="U13" s="119"/>
      <c r="V13" s="119"/>
      <c r="W13" s="57"/>
      <c r="X13" s="57"/>
      <c r="Y13" s="57"/>
      <c r="Z13" s="57"/>
      <c r="AA13" s="57"/>
      <c r="AB13" s="57"/>
      <c r="AC13" s="52"/>
      <c r="AD13" s="52"/>
      <c r="AE13" s="57"/>
      <c r="AF13" s="57"/>
      <c r="AG13" s="52"/>
      <c r="AH13" s="52"/>
      <c r="AI13" s="52"/>
      <c r="AJ13" s="52"/>
      <c r="AK13" s="53"/>
    </row>
    <row r="14" spans="1:41" ht="15" customHeight="1">
      <c r="B14" s="80"/>
      <c r="C14" s="92" t="s">
        <v>114</v>
      </c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4"/>
      <c r="O14" s="119" t="s">
        <v>83</v>
      </c>
      <c r="P14" s="119" t="s">
        <v>83</v>
      </c>
      <c r="Q14" s="119" t="s">
        <v>83</v>
      </c>
      <c r="R14" s="119" t="s">
        <v>83</v>
      </c>
      <c r="S14" s="119" t="s">
        <v>83</v>
      </c>
      <c r="T14" s="119" t="s">
        <v>83</v>
      </c>
      <c r="U14" s="119" t="s">
        <v>83</v>
      </c>
      <c r="V14" s="119" t="s">
        <v>83</v>
      </c>
      <c r="W14" s="125" t="s">
        <v>83</v>
      </c>
      <c r="X14" s="125" t="s">
        <v>83</v>
      </c>
      <c r="Y14" s="125"/>
      <c r="Z14" s="125"/>
      <c r="AA14" s="57"/>
      <c r="AB14" s="57"/>
      <c r="AC14" s="52"/>
      <c r="AD14" s="52"/>
      <c r="AE14" s="57"/>
      <c r="AF14" s="57"/>
      <c r="AG14" s="52"/>
      <c r="AH14" s="52"/>
      <c r="AI14" s="52"/>
      <c r="AJ14" s="52"/>
      <c r="AK14" s="53"/>
    </row>
    <row r="15" spans="1:41" ht="15" customHeight="1">
      <c r="B15" s="96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19"/>
      <c r="P15" s="119"/>
      <c r="Q15" s="119"/>
      <c r="R15" s="118"/>
      <c r="S15" s="119"/>
      <c r="T15" s="119"/>
      <c r="U15" s="119"/>
      <c r="V15" s="119"/>
      <c r="W15" s="57"/>
      <c r="X15" s="52"/>
      <c r="Y15" s="57"/>
      <c r="Z15" s="57"/>
      <c r="AA15" s="57"/>
      <c r="AB15" s="57"/>
      <c r="AC15" s="52"/>
      <c r="AD15" s="52"/>
      <c r="AE15" s="57"/>
      <c r="AF15" s="57"/>
      <c r="AG15" s="52"/>
      <c r="AH15" s="52"/>
      <c r="AI15" s="52"/>
      <c r="AJ15" s="52"/>
      <c r="AK15" s="53"/>
    </row>
    <row r="16" spans="1:41" ht="15" customHeight="1">
      <c r="A16" s="56"/>
      <c r="B16" s="96" t="s">
        <v>104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8"/>
      <c r="O16" s="119"/>
      <c r="P16" s="119"/>
      <c r="Q16" s="119"/>
      <c r="R16" s="119"/>
      <c r="S16" s="119"/>
      <c r="T16" s="119"/>
      <c r="U16" s="119"/>
      <c r="V16" s="119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2"/>
      <c r="AJ16" s="52"/>
      <c r="AK16" s="53"/>
    </row>
    <row r="17" spans="1:37" ht="15" customHeight="1">
      <c r="A17" s="56"/>
      <c r="B17" s="80"/>
      <c r="C17" s="148" t="s">
        <v>109</v>
      </c>
      <c r="D17" s="149"/>
      <c r="E17" s="149"/>
      <c r="F17" s="149"/>
      <c r="G17" s="149"/>
      <c r="H17" s="149"/>
      <c r="I17" s="149"/>
      <c r="J17" s="149"/>
      <c r="K17" s="149"/>
      <c r="L17" s="149"/>
      <c r="M17" s="149"/>
      <c r="N17" s="150"/>
      <c r="O17" s="145"/>
      <c r="P17" s="145"/>
      <c r="Q17" s="146"/>
      <c r="R17" s="145"/>
      <c r="S17" s="145"/>
      <c r="T17" s="145"/>
      <c r="U17" s="146"/>
      <c r="V17" s="145"/>
      <c r="W17" s="146"/>
      <c r="X17" s="146"/>
      <c r="Y17" s="145"/>
      <c r="Z17" s="146"/>
      <c r="AA17" s="145"/>
      <c r="AB17" s="145"/>
      <c r="AC17" s="145"/>
      <c r="AD17" s="146"/>
      <c r="AE17" s="146"/>
      <c r="AF17" s="146"/>
      <c r="AG17" s="146"/>
      <c r="AH17" s="146"/>
      <c r="AI17" s="146"/>
      <c r="AJ17" s="146"/>
      <c r="AK17" s="147"/>
    </row>
    <row r="18" spans="1:37" ht="15" customHeight="1">
      <c r="A18" s="56"/>
      <c r="B18" s="80"/>
      <c r="C18" s="148" t="s">
        <v>122</v>
      </c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50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6"/>
      <c r="AE18" s="145"/>
      <c r="AF18" s="145"/>
      <c r="AG18" s="145"/>
      <c r="AH18" s="146"/>
      <c r="AI18" s="146"/>
      <c r="AJ18" s="146"/>
      <c r="AK18" s="147"/>
    </row>
    <row r="19" spans="1:37" ht="15" customHeight="1">
      <c r="A19" s="56"/>
      <c r="B19" s="80"/>
      <c r="C19" s="80" t="s">
        <v>110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8"/>
      <c r="O19" s="119" t="s">
        <v>83</v>
      </c>
      <c r="P19" s="119" t="s">
        <v>83</v>
      </c>
      <c r="Q19" s="119"/>
      <c r="R19" s="119"/>
      <c r="S19" s="119"/>
      <c r="T19" s="119"/>
      <c r="U19" s="119"/>
      <c r="V19" s="119"/>
      <c r="W19" s="125" t="s">
        <v>83</v>
      </c>
      <c r="X19" s="125" t="s">
        <v>83</v>
      </c>
      <c r="Y19" s="57"/>
      <c r="Z19" s="57"/>
      <c r="AA19" s="57"/>
      <c r="AB19" s="57"/>
      <c r="AC19" s="57"/>
      <c r="AD19" s="57"/>
      <c r="AE19" s="57"/>
      <c r="AF19" s="57"/>
      <c r="AG19" s="52"/>
      <c r="AH19" s="52"/>
      <c r="AI19" s="52"/>
      <c r="AJ19" s="52"/>
      <c r="AK19" s="53"/>
    </row>
    <row r="20" spans="1:37" ht="15" customHeight="1">
      <c r="A20" s="56"/>
      <c r="B20" s="80"/>
      <c r="C20" s="92" t="s">
        <v>111</v>
      </c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4"/>
      <c r="O20" s="119"/>
      <c r="P20" s="119"/>
      <c r="Q20" s="119" t="s">
        <v>83</v>
      </c>
      <c r="R20" s="119" t="s">
        <v>83</v>
      </c>
      <c r="S20" s="119"/>
      <c r="T20" s="119"/>
      <c r="U20" s="119"/>
      <c r="V20" s="119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2"/>
      <c r="AH20" s="52"/>
      <c r="AI20" s="52"/>
      <c r="AJ20" s="52"/>
      <c r="AK20" s="53"/>
    </row>
    <row r="21" spans="1:37" ht="30.75" customHeight="1">
      <c r="A21" s="56"/>
      <c r="B21" s="80"/>
      <c r="C21" s="199" t="s">
        <v>118</v>
      </c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1"/>
      <c r="O21" s="119"/>
      <c r="P21" s="119"/>
      <c r="Q21" s="119"/>
      <c r="R21" s="119"/>
      <c r="S21" s="119" t="s">
        <v>83</v>
      </c>
      <c r="T21" s="119" t="s">
        <v>83</v>
      </c>
      <c r="U21" s="119"/>
      <c r="V21" s="119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2"/>
      <c r="AH21" s="52"/>
      <c r="AI21" s="52"/>
      <c r="AJ21" s="52"/>
      <c r="AK21" s="53"/>
    </row>
    <row r="22" spans="1:37" ht="30" customHeight="1">
      <c r="A22" s="56"/>
      <c r="B22" s="79"/>
      <c r="C22" s="181" t="s">
        <v>119</v>
      </c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3"/>
      <c r="O22" s="119"/>
      <c r="P22" s="119"/>
      <c r="Q22" s="119"/>
      <c r="R22" s="119"/>
      <c r="S22" s="119"/>
      <c r="T22" s="119"/>
      <c r="U22" s="119" t="s">
        <v>83</v>
      </c>
      <c r="V22" s="119" t="s">
        <v>83</v>
      </c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2"/>
      <c r="AH22" s="52"/>
      <c r="AI22" s="52"/>
      <c r="AJ22" s="52"/>
      <c r="AK22" s="53"/>
    </row>
    <row r="23" spans="1:37" ht="15" customHeight="1">
      <c r="B23" s="79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2"/>
      <c r="O23" s="119"/>
      <c r="P23" s="119"/>
      <c r="Q23" s="118"/>
      <c r="R23" s="118"/>
      <c r="S23" s="119"/>
      <c r="T23" s="119"/>
      <c r="U23" s="119"/>
      <c r="V23" s="119"/>
      <c r="W23" s="52"/>
      <c r="X23" s="52"/>
      <c r="Y23" s="57"/>
      <c r="Z23" s="57"/>
      <c r="AA23" s="57"/>
      <c r="AB23" s="57"/>
      <c r="AC23" s="57"/>
      <c r="AD23" s="52"/>
      <c r="AE23" s="57"/>
      <c r="AF23" s="57"/>
      <c r="AG23" s="57"/>
      <c r="AH23" s="52"/>
      <c r="AI23" s="52"/>
      <c r="AJ23" s="52"/>
      <c r="AK23" s="53"/>
    </row>
    <row r="24" spans="1:37" ht="15" customHeight="1">
      <c r="A24" s="102"/>
      <c r="B24" s="96" t="s">
        <v>117</v>
      </c>
      <c r="C24" s="139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1"/>
      <c r="O24" s="119"/>
      <c r="P24" s="119"/>
      <c r="Q24" s="119"/>
      <c r="R24" s="119"/>
      <c r="S24" s="119"/>
      <c r="T24" s="119"/>
      <c r="U24" s="119"/>
      <c r="V24" s="119"/>
      <c r="W24" s="57"/>
      <c r="X24" s="57"/>
      <c r="Y24" s="57"/>
      <c r="Z24" s="57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17"/>
    </row>
    <row r="25" spans="1:37" ht="15" customHeight="1">
      <c r="A25" s="56"/>
      <c r="B25" s="13"/>
      <c r="C25" s="204" t="s">
        <v>116</v>
      </c>
      <c r="D25" s="205"/>
      <c r="E25" s="205"/>
      <c r="F25" s="205"/>
      <c r="G25" s="205"/>
      <c r="H25" s="205"/>
      <c r="I25" s="205"/>
      <c r="J25" s="205"/>
      <c r="K25" s="205"/>
      <c r="L25" s="205"/>
      <c r="M25" s="205"/>
      <c r="N25" s="206"/>
      <c r="O25" s="119" t="s">
        <v>83</v>
      </c>
      <c r="P25" s="119" t="s">
        <v>83</v>
      </c>
      <c r="Q25" s="119" t="s">
        <v>83</v>
      </c>
      <c r="R25" s="119" t="s">
        <v>83</v>
      </c>
      <c r="S25" s="119" t="s">
        <v>83</v>
      </c>
      <c r="T25" s="119" t="s">
        <v>83</v>
      </c>
      <c r="U25" s="119" t="s">
        <v>83</v>
      </c>
      <c r="V25" s="119" t="s">
        <v>83</v>
      </c>
      <c r="W25" s="125" t="s">
        <v>83</v>
      </c>
      <c r="X25" s="125" t="s">
        <v>83</v>
      </c>
      <c r="Y25" s="57"/>
      <c r="Z25" s="57"/>
      <c r="AA25" s="57"/>
      <c r="AB25" s="57"/>
      <c r="AC25" s="57"/>
      <c r="AD25" s="57"/>
      <c r="AE25" s="57"/>
      <c r="AF25" s="57"/>
      <c r="AG25" s="52"/>
      <c r="AH25" s="52"/>
      <c r="AI25" s="52"/>
      <c r="AJ25" s="52"/>
      <c r="AK25" s="17"/>
    </row>
    <row r="26" spans="1:37" ht="15" customHeight="1">
      <c r="A26" s="56"/>
      <c r="B26" s="79"/>
      <c r="C26" s="207"/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08"/>
      <c r="O26" s="119"/>
      <c r="P26" s="119"/>
      <c r="Q26" s="119"/>
      <c r="R26" s="119"/>
      <c r="S26" s="119"/>
      <c r="T26" s="119"/>
      <c r="U26" s="119"/>
      <c r="V26" s="119"/>
      <c r="W26" s="57"/>
      <c r="X26" s="52"/>
      <c r="Y26" s="57"/>
      <c r="Z26" s="57"/>
      <c r="AA26" s="57"/>
      <c r="AB26" s="57"/>
      <c r="AC26" s="52"/>
      <c r="AD26" s="57"/>
      <c r="AE26" s="52"/>
      <c r="AF26" s="52"/>
      <c r="AG26" s="52"/>
      <c r="AH26" s="52"/>
      <c r="AI26" s="52"/>
      <c r="AJ26" s="52"/>
      <c r="AK26" s="17"/>
    </row>
    <row r="27" spans="1:37" ht="15" customHeight="1">
      <c r="B27" s="96" t="s">
        <v>73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4"/>
      <c r="O27" s="119"/>
      <c r="P27" s="119"/>
      <c r="Q27" s="119"/>
      <c r="R27" s="119"/>
      <c r="S27" s="119"/>
      <c r="T27" s="119"/>
      <c r="U27" s="119"/>
      <c r="V27" s="119"/>
      <c r="W27" s="57"/>
      <c r="X27" s="57"/>
      <c r="Y27" s="57"/>
      <c r="Z27" s="57"/>
      <c r="AA27" s="57"/>
      <c r="AB27" s="57"/>
      <c r="AC27" s="57"/>
      <c r="AD27" s="52"/>
      <c r="AE27" s="57"/>
      <c r="AF27" s="57"/>
      <c r="AG27" s="57"/>
      <c r="AH27" s="52"/>
      <c r="AI27" s="52"/>
      <c r="AJ27" s="52"/>
      <c r="AK27" s="53"/>
    </row>
    <row r="28" spans="1:37" ht="15" customHeight="1">
      <c r="A28" s="56"/>
      <c r="B28" s="80"/>
      <c r="C28" s="92" t="s">
        <v>74</v>
      </c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4"/>
      <c r="O28" s="119" t="s">
        <v>83</v>
      </c>
      <c r="P28" s="119"/>
      <c r="Q28" s="119" t="s">
        <v>83</v>
      </c>
      <c r="R28" s="119"/>
      <c r="S28" s="119" t="s">
        <v>83</v>
      </c>
      <c r="T28" s="119"/>
      <c r="U28" s="119" t="s">
        <v>83</v>
      </c>
      <c r="V28" s="119"/>
      <c r="W28" s="125" t="s">
        <v>83</v>
      </c>
      <c r="X28" s="125" t="s">
        <v>83</v>
      </c>
      <c r="Y28" s="57"/>
      <c r="Z28" s="57"/>
      <c r="AA28" s="57"/>
      <c r="AB28" s="57"/>
      <c r="AC28" s="57"/>
      <c r="AD28" s="52"/>
      <c r="AE28" s="57"/>
      <c r="AF28" s="57"/>
      <c r="AG28" s="57"/>
      <c r="AH28" s="52"/>
      <c r="AI28" s="52"/>
      <c r="AJ28" s="52"/>
      <c r="AK28" s="53"/>
    </row>
    <row r="29" spans="1:37" ht="15" customHeight="1">
      <c r="A29" s="56"/>
      <c r="B29" s="79"/>
      <c r="C29" s="92" t="s">
        <v>75</v>
      </c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4"/>
      <c r="O29" s="119"/>
      <c r="P29" s="119" t="s">
        <v>83</v>
      </c>
      <c r="Q29" s="119"/>
      <c r="R29" s="119" t="s">
        <v>83</v>
      </c>
      <c r="S29" s="119"/>
      <c r="T29" s="119" t="s">
        <v>83</v>
      </c>
      <c r="U29" s="119"/>
      <c r="V29" s="119" t="s">
        <v>83</v>
      </c>
      <c r="W29" s="57"/>
      <c r="X29" s="57"/>
      <c r="Y29" s="57"/>
      <c r="Z29" s="57"/>
      <c r="AA29" s="57"/>
      <c r="AB29" s="57"/>
      <c r="AC29" s="57"/>
      <c r="AD29" s="52"/>
      <c r="AE29" s="57"/>
      <c r="AF29" s="57"/>
      <c r="AG29" s="57"/>
      <c r="AH29" s="52"/>
      <c r="AI29" s="52"/>
      <c r="AJ29" s="52"/>
      <c r="AK29" s="53"/>
    </row>
    <row r="30" spans="1:37" ht="15" customHeight="1">
      <c r="A30" s="56"/>
      <c r="B30" s="96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8"/>
      <c r="O30" s="119"/>
      <c r="P30" s="119"/>
      <c r="Q30" s="119"/>
      <c r="R30" s="119"/>
      <c r="S30" s="119"/>
      <c r="T30" s="119"/>
      <c r="U30" s="119"/>
      <c r="V30" s="119"/>
      <c r="W30" s="57"/>
      <c r="X30" s="57"/>
      <c r="Y30" s="57"/>
      <c r="Z30" s="57"/>
      <c r="AA30" s="57"/>
      <c r="AB30" s="57"/>
      <c r="AC30" s="57"/>
      <c r="AD30" s="52"/>
      <c r="AE30" s="57"/>
      <c r="AF30" s="57"/>
      <c r="AG30" s="57"/>
      <c r="AH30" s="52"/>
      <c r="AI30" s="52"/>
      <c r="AJ30" s="52"/>
      <c r="AK30" s="53"/>
    </row>
    <row r="31" spans="1:37" ht="15" customHeight="1">
      <c r="A31" s="56"/>
      <c r="B31" s="80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8"/>
      <c r="O31" s="119"/>
      <c r="P31" s="119"/>
      <c r="Q31" s="119"/>
      <c r="R31" s="119"/>
      <c r="S31" s="119"/>
      <c r="T31" s="119"/>
      <c r="U31" s="119"/>
      <c r="V31" s="119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2"/>
      <c r="AJ31" s="52"/>
      <c r="AK31" s="53"/>
    </row>
    <row r="32" spans="1:37" ht="15" customHeight="1">
      <c r="A32" s="56"/>
      <c r="B32" s="80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8"/>
      <c r="O32" s="119"/>
      <c r="P32" s="119"/>
      <c r="Q32" s="118"/>
      <c r="R32" s="118"/>
      <c r="S32" s="119"/>
      <c r="T32" s="119"/>
      <c r="U32" s="119"/>
      <c r="V32" s="119"/>
      <c r="W32" s="52"/>
      <c r="X32" s="52"/>
      <c r="Y32" s="57"/>
      <c r="Z32" s="57"/>
      <c r="AA32" s="57"/>
      <c r="AB32" s="57"/>
      <c r="AC32" s="57"/>
      <c r="AD32" s="52"/>
      <c r="AE32" s="57"/>
      <c r="AF32" s="57"/>
      <c r="AG32" s="57"/>
      <c r="AH32" s="52"/>
      <c r="AI32" s="52"/>
      <c r="AJ32" s="52"/>
      <c r="AK32" s="53"/>
    </row>
    <row r="33" spans="1:37" ht="15" customHeight="1">
      <c r="A33" s="103"/>
      <c r="B33" s="79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2"/>
      <c r="O33" s="119"/>
      <c r="P33" s="119"/>
      <c r="Q33" s="119"/>
      <c r="R33" s="119"/>
      <c r="S33" s="119"/>
      <c r="T33" s="119"/>
      <c r="U33" s="119"/>
      <c r="V33" s="119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2"/>
      <c r="AJ33" s="52"/>
      <c r="AK33" s="53"/>
    </row>
    <row r="34" spans="1:37" ht="15" customHeight="1">
      <c r="A34" s="56"/>
      <c r="B34" s="80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8"/>
      <c r="O34" s="119"/>
      <c r="P34" s="119"/>
      <c r="Q34" s="119"/>
      <c r="R34" s="119"/>
      <c r="S34" s="119"/>
      <c r="T34" s="119"/>
      <c r="U34" s="119"/>
      <c r="V34" s="119"/>
      <c r="W34" s="57"/>
      <c r="X34" s="57"/>
      <c r="Y34" s="57"/>
      <c r="Z34" s="52"/>
      <c r="AA34" s="57"/>
      <c r="AB34" s="57"/>
      <c r="AC34" s="52"/>
      <c r="AD34" s="52"/>
      <c r="AE34" s="57"/>
      <c r="AF34" s="57"/>
      <c r="AG34" s="52"/>
      <c r="AH34" s="52"/>
      <c r="AI34" s="52"/>
      <c r="AJ34" s="52"/>
      <c r="AK34" s="17"/>
    </row>
    <row r="35" spans="1:37" ht="15" customHeight="1">
      <c r="A35" s="56" t="s">
        <v>130</v>
      </c>
      <c r="B35" s="96" t="s">
        <v>78</v>
      </c>
      <c r="C35" s="101"/>
      <c r="D35" s="101"/>
      <c r="E35" s="93"/>
      <c r="F35" s="93"/>
      <c r="G35" s="93"/>
      <c r="H35" s="93"/>
      <c r="I35" s="93"/>
      <c r="J35" s="93"/>
      <c r="K35" s="93"/>
      <c r="L35" s="93"/>
      <c r="M35" s="93"/>
      <c r="N35" s="94"/>
      <c r="O35" s="119"/>
      <c r="P35" s="119"/>
      <c r="Q35" s="119"/>
      <c r="R35" s="119"/>
      <c r="S35" s="119"/>
      <c r="T35" s="119"/>
      <c r="U35" s="119"/>
      <c r="V35" s="119"/>
      <c r="W35" s="57"/>
      <c r="X35" s="57"/>
      <c r="Y35" s="57"/>
      <c r="Z35" s="52"/>
      <c r="AA35" s="57"/>
      <c r="AB35" s="57"/>
      <c r="AC35" s="52"/>
      <c r="AD35" s="52"/>
      <c r="AE35" s="57"/>
      <c r="AF35" s="57"/>
      <c r="AG35" s="52"/>
      <c r="AH35" s="52"/>
      <c r="AI35" s="52"/>
      <c r="AJ35" s="52"/>
      <c r="AK35" s="17"/>
    </row>
    <row r="36" spans="1:37" ht="28.5" customHeight="1">
      <c r="A36" s="152" t="s">
        <v>132</v>
      </c>
      <c r="B36" s="80"/>
      <c r="C36" s="181" t="s">
        <v>115</v>
      </c>
      <c r="D36" s="182"/>
      <c r="E36" s="182"/>
      <c r="F36" s="182"/>
      <c r="G36" s="182"/>
      <c r="H36" s="182"/>
      <c r="I36" s="182"/>
      <c r="J36" s="182"/>
      <c r="K36" s="182"/>
      <c r="L36" s="182"/>
      <c r="M36" s="182"/>
      <c r="N36" s="183"/>
      <c r="O36" s="119"/>
      <c r="P36" s="119" t="s">
        <v>83</v>
      </c>
      <c r="Q36" s="119"/>
      <c r="R36" s="119" t="s">
        <v>83</v>
      </c>
      <c r="S36" s="119"/>
      <c r="T36" s="119" t="s">
        <v>83</v>
      </c>
      <c r="U36" s="119"/>
      <c r="V36" s="119" t="s">
        <v>83</v>
      </c>
      <c r="W36" s="57"/>
      <c r="X36" s="57"/>
      <c r="Y36" s="57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17"/>
    </row>
    <row r="37" spans="1:37" ht="15" customHeight="1">
      <c r="A37" s="56" t="s">
        <v>133</v>
      </c>
      <c r="B37" s="92" t="s">
        <v>77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4"/>
      <c r="O37" s="119" t="s">
        <v>83</v>
      </c>
      <c r="P37" s="119"/>
      <c r="Q37" s="119" t="s">
        <v>83</v>
      </c>
      <c r="R37" s="119"/>
      <c r="S37" s="119" t="s">
        <v>83</v>
      </c>
      <c r="T37" s="119"/>
      <c r="U37" s="119" t="s">
        <v>83</v>
      </c>
      <c r="V37" s="119"/>
      <c r="W37" s="125" t="s">
        <v>83</v>
      </c>
      <c r="X37" s="125" t="s">
        <v>83</v>
      </c>
      <c r="Y37" s="57"/>
      <c r="Z37" s="57"/>
      <c r="AA37" s="57"/>
      <c r="AB37" s="57"/>
      <c r="AC37" s="52"/>
      <c r="AD37" s="52"/>
      <c r="AE37" s="57"/>
      <c r="AF37" s="57"/>
      <c r="AG37" s="52"/>
      <c r="AH37" s="52"/>
      <c r="AI37" s="52"/>
      <c r="AJ37" s="52"/>
      <c r="AK37" s="17"/>
    </row>
    <row r="38" spans="1:37" ht="15" customHeight="1">
      <c r="A38" s="104"/>
      <c r="B38" s="96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8"/>
      <c r="O38" s="119"/>
      <c r="P38" s="119"/>
      <c r="Q38" s="119"/>
      <c r="R38" s="119"/>
      <c r="S38" s="119"/>
      <c r="T38" s="119"/>
      <c r="U38" s="119"/>
      <c r="V38" s="119"/>
      <c r="W38" s="57"/>
      <c r="X38" s="57"/>
      <c r="Y38" s="57"/>
      <c r="Z38" s="57"/>
      <c r="AA38" s="57"/>
      <c r="AB38" s="57"/>
      <c r="AC38" s="57"/>
      <c r="AD38" s="52"/>
      <c r="AE38" s="52"/>
      <c r="AF38" s="52"/>
      <c r="AG38" s="52"/>
      <c r="AH38" s="52"/>
      <c r="AI38" s="52"/>
      <c r="AJ38" s="52"/>
      <c r="AK38" s="17"/>
    </row>
    <row r="39" spans="1:37" ht="15" customHeight="1">
      <c r="A39" s="56"/>
      <c r="B39" s="80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8"/>
      <c r="O39" s="119"/>
      <c r="P39" s="119"/>
      <c r="Q39" s="119"/>
      <c r="R39" s="119"/>
      <c r="S39" s="119"/>
      <c r="T39" s="119"/>
      <c r="U39" s="119"/>
      <c r="V39" s="119"/>
      <c r="W39" s="57"/>
      <c r="X39" s="57"/>
      <c r="Y39" s="57"/>
      <c r="Z39" s="57"/>
      <c r="AA39" s="57"/>
      <c r="AB39" s="57"/>
      <c r="AC39" s="57"/>
      <c r="AD39" s="52"/>
      <c r="AE39" s="52"/>
      <c r="AF39" s="52"/>
      <c r="AG39" s="52"/>
      <c r="AH39" s="52"/>
      <c r="AI39" s="52"/>
      <c r="AJ39" s="52"/>
      <c r="AK39" s="17"/>
    </row>
    <row r="40" spans="1:37" ht="15" customHeight="1">
      <c r="A40" s="56"/>
      <c r="B40" s="80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8"/>
      <c r="O40" s="119"/>
      <c r="P40" s="119"/>
      <c r="Q40" s="119"/>
      <c r="R40" s="119"/>
      <c r="S40" s="119"/>
      <c r="T40" s="119"/>
      <c r="U40" s="119"/>
      <c r="V40" s="119"/>
      <c r="W40" s="57"/>
      <c r="X40" s="57"/>
      <c r="Y40" s="57"/>
      <c r="Z40" s="57"/>
      <c r="AA40" s="57"/>
      <c r="AB40" s="57"/>
      <c r="AC40" s="57"/>
      <c r="AD40" s="52"/>
      <c r="AE40" s="52"/>
      <c r="AF40" s="52"/>
      <c r="AG40" s="52"/>
      <c r="AH40" s="52"/>
      <c r="AI40" s="52"/>
      <c r="AJ40" s="52"/>
      <c r="AK40" s="17"/>
    </row>
    <row r="41" spans="1:37" ht="15" customHeight="1">
      <c r="A41" s="56"/>
      <c r="B41" s="80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8"/>
      <c r="O41" s="119"/>
      <c r="P41" s="119"/>
      <c r="Q41" s="118"/>
      <c r="R41" s="119"/>
      <c r="S41" s="119"/>
      <c r="T41" s="119"/>
      <c r="U41" s="118"/>
      <c r="V41" s="119"/>
      <c r="W41" s="52"/>
      <c r="X41" s="52"/>
      <c r="Y41" s="52"/>
      <c r="Z41" s="57"/>
      <c r="AA41" s="57"/>
      <c r="AB41" s="57"/>
      <c r="AC41" s="52"/>
      <c r="AD41" s="52"/>
      <c r="AE41" s="57"/>
      <c r="AF41" s="57"/>
      <c r="AG41" s="52"/>
      <c r="AH41" s="52"/>
      <c r="AI41" s="52"/>
      <c r="AJ41" s="52"/>
      <c r="AK41" s="53"/>
    </row>
    <row r="42" spans="1:37" ht="15" customHeight="1">
      <c r="A42" s="56"/>
      <c r="B42" s="80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8"/>
      <c r="O42" s="119"/>
      <c r="P42" s="119"/>
      <c r="Q42" s="119"/>
      <c r="R42" s="119"/>
      <c r="S42" s="119"/>
      <c r="T42" s="119"/>
      <c r="U42" s="119"/>
      <c r="V42" s="119"/>
      <c r="W42" s="57"/>
      <c r="X42" s="57"/>
      <c r="Y42" s="57"/>
      <c r="Z42" s="52"/>
      <c r="AA42" s="57"/>
      <c r="AB42" s="57"/>
      <c r="AC42" s="52"/>
      <c r="AD42" s="52"/>
      <c r="AE42" s="57"/>
      <c r="AF42" s="57"/>
      <c r="AG42" s="52"/>
      <c r="AH42" s="52"/>
      <c r="AI42" s="52"/>
      <c r="AJ42" s="52"/>
      <c r="AK42" s="17"/>
    </row>
    <row r="43" spans="1:37" ht="15" customHeight="1">
      <c r="A43" s="56"/>
      <c r="B43" s="80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8"/>
      <c r="O43" s="119"/>
      <c r="P43" s="119"/>
      <c r="Q43" s="119"/>
      <c r="R43" s="119"/>
      <c r="S43" s="119"/>
      <c r="T43" s="119"/>
      <c r="U43" s="119"/>
      <c r="V43" s="119"/>
      <c r="W43" s="125"/>
      <c r="X43" s="125"/>
      <c r="Y43" s="57"/>
      <c r="Z43" s="57"/>
      <c r="AA43" s="57"/>
      <c r="AB43" s="57"/>
      <c r="AC43" s="52"/>
      <c r="AD43" s="52"/>
      <c r="AE43" s="57"/>
      <c r="AF43" s="57"/>
      <c r="AG43" s="52"/>
      <c r="AH43" s="52"/>
      <c r="AI43" s="52"/>
      <c r="AJ43" s="52"/>
      <c r="AK43" s="17"/>
    </row>
    <row r="44" spans="1:37" ht="15" customHeight="1">
      <c r="A44" s="114"/>
      <c r="B44" s="80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8"/>
      <c r="O44" s="119"/>
      <c r="P44" s="119"/>
      <c r="Q44" s="119"/>
      <c r="R44" s="119"/>
      <c r="S44" s="119"/>
      <c r="T44" s="119"/>
      <c r="U44" s="119"/>
      <c r="V44" s="119"/>
      <c r="W44" s="57"/>
      <c r="X44" s="57"/>
      <c r="Y44" s="57"/>
      <c r="Z44" s="52"/>
      <c r="AA44" s="57"/>
      <c r="AB44" s="57"/>
      <c r="AC44" s="52"/>
      <c r="AD44" s="52"/>
      <c r="AE44" s="57"/>
      <c r="AF44" s="57"/>
      <c r="AG44" s="52"/>
      <c r="AH44" s="52"/>
      <c r="AI44" s="52"/>
      <c r="AJ44" s="52"/>
      <c r="AK44" s="17"/>
    </row>
    <row r="45" spans="1:37" ht="15" customHeight="1">
      <c r="A45" s="56"/>
      <c r="B45" s="80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8"/>
      <c r="O45" s="119"/>
      <c r="P45" s="119"/>
      <c r="Q45" s="119"/>
      <c r="R45" s="119"/>
      <c r="S45" s="119"/>
      <c r="T45" s="119"/>
      <c r="U45" s="119"/>
      <c r="V45" s="119"/>
      <c r="W45" s="57"/>
      <c r="X45" s="57"/>
      <c r="Y45" s="57"/>
      <c r="Z45" s="57"/>
      <c r="AA45" s="57"/>
      <c r="AB45" s="57"/>
      <c r="AC45" s="57"/>
      <c r="AD45" s="52"/>
      <c r="AE45" s="52"/>
      <c r="AF45" s="52"/>
      <c r="AG45" s="52"/>
      <c r="AH45" s="52"/>
      <c r="AI45" s="52"/>
      <c r="AJ45" s="52"/>
      <c r="AK45" s="17"/>
    </row>
    <row r="46" spans="1:37" ht="15" customHeight="1">
      <c r="A46" s="104"/>
      <c r="B46" s="59"/>
      <c r="N46" s="20"/>
      <c r="O46" s="119"/>
      <c r="P46" s="119"/>
      <c r="Q46" s="119"/>
      <c r="R46" s="119"/>
      <c r="S46" s="119"/>
      <c r="T46" s="119"/>
      <c r="U46" s="119"/>
      <c r="V46" s="119"/>
      <c r="W46" s="57"/>
      <c r="X46" s="57"/>
      <c r="Y46" s="57"/>
      <c r="Z46" s="52"/>
      <c r="AA46" s="57"/>
      <c r="AB46" s="57"/>
      <c r="AC46" s="52"/>
      <c r="AD46" s="52"/>
      <c r="AE46" s="57"/>
      <c r="AF46" s="57"/>
      <c r="AG46" s="52"/>
      <c r="AH46" s="52"/>
      <c r="AI46" s="52"/>
      <c r="AJ46" s="52"/>
      <c r="AK46" s="17"/>
    </row>
    <row r="47" spans="1:37" ht="15" customHeight="1">
      <c r="A47" s="56"/>
      <c r="B47" s="80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8"/>
      <c r="O47" s="119"/>
      <c r="P47" s="119"/>
      <c r="Q47" s="119"/>
      <c r="R47" s="119"/>
      <c r="S47" s="119"/>
      <c r="T47" s="119"/>
      <c r="U47" s="119"/>
      <c r="V47" s="119"/>
      <c r="W47" s="57"/>
      <c r="X47" s="57"/>
      <c r="Y47" s="57"/>
      <c r="Z47" s="57"/>
      <c r="AA47" s="57"/>
      <c r="AB47" s="57"/>
      <c r="AC47" s="52"/>
      <c r="AD47" s="57"/>
      <c r="AE47" s="52"/>
      <c r="AF47" s="52"/>
      <c r="AG47" s="52"/>
      <c r="AH47" s="52"/>
      <c r="AI47" s="52"/>
      <c r="AJ47" s="52"/>
      <c r="AK47" s="17"/>
    </row>
    <row r="48" spans="1:37" ht="15" customHeight="1">
      <c r="A48" s="56"/>
      <c r="B48" s="80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8"/>
      <c r="O48" s="119"/>
      <c r="P48" s="119"/>
      <c r="Q48" s="119"/>
      <c r="R48" s="119"/>
      <c r="S48" s="119"/>
      <c r="T48" s="119"/>
      <c r="U48" s="119"/>
      <c r="V48" s="119"/>
      <c r="W48" s="57"/>
      <c r="X48" s="57"/>
      <c r="Y48" s="57"/>
      <c r="Z48" s="57"/>
      <c r="AA48" s="57"/>
      <c r="AB48" s="57"/>
      <c r="AC48" s="57"/>
      <c r="AD48" s="52"/>
      <c r="AE48" s="52"/>
      <c r="AF48" s="52"/>
      <c r="AG48" s="52"/>
      <c r="AH48" s="52"/>
      <c r="AI48" s="52"/>
      <c r="AJ48" s="52"/>
      <c r="AK48" s="17"/>
    </row>
    <row r="49" spans="1:37" ht="15" customHeight="1">
      <c r="A49" s="56"/>
      <c r="B49" s="80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8"/>
      <c r="O49" s="119"/>
      <c r="P49" s="119"/>
      <c r="Q49" s="119"/>
      <c r="R49" s="119"/>
      <c r="S49" s="119"/>
      <c r="T49" s="119"/>
      <c r="U49" s="119"/>
      <c r="V49" s="119"/>
      <c r="W49" s="57"/>
      <c r="X49" s="57"/>
      <c r="Y49" s="57"/>
      <c r="Z49" s="57"/>
      <c r="AA49" s="57"/>
      <c r="AB49" s="57"/>
      <c r="AC49" s="57"/>
      <c r="AD49" s="52"/>
      <c r="AE49" s="52"/>
      <c r="AF49" s="52"/>
      <c r="AG49" s="52"/>
      <c r="AH49" s="52"/>
      <c r="AI49" s="52"/>
      <c r="AJ49" s="52"/>
      <c r="AK49" s="17"/>
    </row>
    <row r="50" spans="1:37" ht="15" customHeight="1">
      <c r="A50" s="56"/>
      <c r="B50" s="80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8"/>
      <c r="O50" s="119"/>
      <c r="P50" s="119"/>
      <c r="Q50" s="119"/>
      <c r="R50" s="119"/>
      <c r="S50" s="119"/>
      <c r="T50" s="119"/>
      <c r="U50" s="119"/>
      <c r="V50" s="119"/>
      <c r="W50" s="57"/>
      <c r="X50" s="57"/>
      <c r="Y50" s="57"/>
      <c r="Z50" s="57"/>
      <c r="AA50" s="57"/>
      <c r="AB50" s="57"/>
      <c r="AC50" s="57"/>
      <c r="AD50" s="52"/>
      <c r="AE50" s="52"/>
      <c r="AF50" s="52"/>
      <c r="AG50" s="52"/>
      <c r="AH50" s="52"/>
      <c r="AI50" s="52"/>
      <c r="AJ50" s="52"/>
      <c r="AK50" s="17"/>
    </row>
    <row r="51" spans="1:37" ht="15" customHeight="1">
      <c r="A51" s="56"/>
      <c r="B51" s="79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2"/>
      <c r="O51" s="119"/>
      <c r="P51" s="119"/>
      <c r="Q51" s="119"/>
      <c r="R51" s="119"/>
      <c r="S51" s="119"/>
      <c r="T51" s="119"/>
      <c r="U51" s="119"/>
      <c r="V51" s="119"/>
      <c r="W51" s="57"/>
      <c r="X51" s="57"/>
      <c r="Y51" s="57"/>
      <c r="Z51" s="57"/>
      <c r="AA51" s="57"/>
      <c r="AB51" s="57"/>
      <c r="AC51" s="57"/>
      <c r="AD51" s="52"/>
      <c r="AE51" s="52"/>
      <c r="AF51" s="52"/>
      <c r="AG51" s="52"/>
      <c r="AH51" s="52"/>
      <c r="AI51" s="52"/>
      <c r="AJ51" s="52"/>
      <c r="AK51" s="17"/>
    </row>
    <row r="52" spans="1:37" ht="15" customHeight="1">
      <c r="A52" s="10"/>
      <c r="C52" s="19"/>
      <c r="D52" s="184" t="s">
        <v>48</v>
      </c>
      <c r="E52" s="185"/>
      <c r="F52" s="185"/>
      <c r="G52" s="185"/>
      <c r="H52" s="185"/>
      <c r="I52" s="186"/>
      <c r="J52" s="59"/>
      <c r="N52" s="20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2"/>
    </row>
    <row r="53" spans="1:37" ht="15" customHeight="1">
      <c r="A53" s="60"/>
      <c r="B53" s="61"/>
      <c r="C53" s="62"/>
      <c r="D53" s="184"/>
      <c r="E53" s="185"/>
      <c r="F53" s="185"/>
      <c r="G53" s="185"/>
      <c r="H53" s="185"/>
      <c r="I53" s="186"/>
      <c r="J53" s="13"/>
      <c r="K53" s="14"/>
      <c r="L53" s="14"/>
      <c r="M53" s="14"/>
      <c r="N53" s="15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7"/>
    </row>
    <row r="54" spans="1:37" ht="15" customHeight="1">
      <c r="A54" s="18"/>
      <c r="C54" s="19"/>
      <c r="D54" s="184"/>
      <c r="E54" s="185"/>
      <c r="F54" s="185"/>
      <c r="G54" s="185"/>
      <c r="H54" s="185"/>
      <c r="I54" s="186"/>
      <c r="M54" s="19"/>
      <c r="N54" s="20"/>
      <c r="O54" s="68" t="str">
        <f t="shared" ref="O54:AK54" si="0">IF(O55&lt;&gt;"",MONTH(O55),"")</f>
        <v/>
      </c>
      <c r="P54" s="68" t="str">
        <f t="shared" si="0"/>
        <v/>
      </c>
      <c r="Q54" s="68" t="str">
        <f t="shared" si="0"/>
        <v/>
      </c>
      <c r="R54" s="68" t="str">
        <f t="shared" si="0"/>
        <v/>
      </c>
      <c r="S54" s="68" t="str">
        <f t="shared" si="0"/>
        <v/>
      </c>
      <c r="T54" s="68" t="str">
        <f t="shared" si="0"/>
        <v/>
      </c>
      <c r="U54" s="68" t="str">
        <f t="shared" si="0"/>
        <v/>
      </c>
      <c r="V54" s="68" t="str">
        <f t="shared" si="0"/>
        <v/>
      </c>
      <c r="W54" s="68" t="str">
        <f t="shared" si="0"/>
        <v/>
      </c>
      <c r="X54" s="68" t="str">
        <f t="shared" si="0"/>
        <v/>
      </c>
      <c r="Y54" s="68" t="str">
        <f t="shared" si="0"/>
        <v/>
      </c>
      <c r="Z54" s="68" t="str">
        <f t="shared" si="0"/>
        <v/>
      </c>
      <c r="AA54" s="68" t="str">
        <f t="shared" si="0"/>
        <v/>
      </c>
      <c r="AB54" s="68" t="str">
        <f t="shared" si="0"/>
        <v/>
      </c>
      <c r="AC54" s="68" t="str">
        <f t="shared" si="0"/>
        <v/>
      </c>
      <c r="AD54" s="68" t="str">
        <f t="shared" si="0"/>
        <v/>
      </c>
      <c r="AE54" s="68" t="str">
        <f t="shared" si="0"/>
        <v/>
      </c>
      <c r="AF54" s="68" t="str">
        <f t="shared" si="0"/>
        <v/>
      </c>
      <c r="AG54" s="68" t="str">
        <f t="shared" si="0"/>
        <v/>
      </c>
      <c r="AH54" s="68" t="str">
        <f t="shared" si="0"/>
        <v/>
      </c>
      <c r="AI54" s="68" t="str">
        <f t="shared" si="0"/>
        <v/>
      </c>
      <c r="AJ54" s="68" t="str">
        <f t="shared" si="0"/>
        <v/>
      </c>
      <c r="AK54" s="69" t="str">
        <f t="shared" si="0"/>
        <v/>
      </c>
    </row>
    <row r="55" spans="1:37" ht="15" customHeight="1">
      <c r="A55" s="21"/>
      <c r="B55" s="14"/>
      <c r="C55" s="22"/>
      <c r="D55" s="187"/>
      <c r="E55" s="188"/>
      <c r="F55" s="188"/>
      <c r="G55" s="188"/>
      <c r="H55" s="188"/>
      <c r="I55" s="189"/>
      <c r="M55" s="19"/>
      <c r="N55" s="15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1"/>
    </row>
    <row r="56" spans="1:37" ht="15" customHeight="1">
      <c r="A56" s="167" t="s">
        <v>43</v>
      </c>
      <c r="B56" s="168"/>
      <c r="C56" s="169"/>
      <c r="D56" s="177"/>
      <c r="E56" s="175"/>
      <c r="F56" s="175"/>
      <c r="G56" s="175"/>
      <c r="H56" s="175"/>
      <c r="I56" s="176"/>
      <c r="M56" s="19"/>
      <c r="N56" s="20"/>
      <c r="O56" s="68" t="str">
        <f t="shared" ref="O56:AK56" si="1">IF(O57&lt;&gt;"",MONTH(O57),"")</f>
        <v/>
      </c>
      <c r="P56" s="68" t="str">
        <f t="shared" si="1"/>
        <v/>
      </c>
      <c r="Q56" s="68" t="str">
        <f t="shared" si="1"/>
        <v/>
      </c>
      <c r="R56" s="68" t="str">
        <f t="shared" si="1"/>
        <v/>
      </c>
      <c r="S56" s="68" t="str">
        <f t="shared" si="1"/>
        <v/>
      </c>
      <c r="T56" s="68" t="str">
        <f t="shared" si="1"/>
        <v/>
      </c>
      <c r="U56" s="68" t="str">
        <f t="shared" si="1"/>
        <v/>
      </c>
      <c r="V56" s="68" t="str">
        <f t="shared" si="1"/>
        <v/>
      </c>
      <c r="W56" s="68" t="str">
        <f t="shared" si="1"/>
        <v/>
      </c>
      <c r="X56" s="68" t="str">
        <f t="shared" si="1"/>
        <v/>
      </c>
      <c r="Y56" s="68" t="str">
        <f t="shared" si="1"/>
        <v/>
      </c>
      <c r="Z56" s="68" t="str">
        <f t="shared" si="1"/>
        <v/>
      </c>
      <c r="AA56" s="68" t="str">
        <f t="shared" si="1"/>
        <v/>
      </c>
      <c r="AB56" s="68" t="str">
        <f t="shared" si="1"/>
        <v/>
      </c>
      <c r="AC56" s="68" t="str">
        <f t="shared" si="1"/>
        <v/>
      </c>
      <c r="AD56" s="68" t="str">
        <f t="shared" si="1"/>
        <v/>
      </c>
      <c r="AE56" s="68" t="str">
        <f t="shared" si="1"/>
        <v/>
      </c>
      <c r="AF56" s="68" t="str">
        <f t="shared" si="1"/>
        <v/>
      </c>
      <c r="AG56" s="68" t="str">
        <f t="shared" si="1"/>
        <v/>
      </c>
      <c r="AH56" s="68" t="str">
        <f t="shared" si="1"/>
        <v/>
      </c>
      <c r="AI56" s="68" t="str">
        <f t="shared" si="1"/>
        <v/>
      </c>
      <c r="AJ56" s="68" t="str">
        <f t="shared" si="1"/>
        <v/>
      </c>
      <c r="AK56" s="69" t="str">
        <f t="shared" si="1"/>
        <v/>
      </c>
    </row>
    <row r="57" spans="1:37" ht="15" customHeight="1">
      <c r="A57" s="167" t="s">
        <v>44</v>
      </c>
      <c r="B57" s="168"/>
      <c r="C57" s="169"/>
      <c r="D57" s="190"/>
      <c r="E57" s="191"/>
      <c r="F57" s="191"/>
      <c r="G57" s="191"/>
      <c r="H57" s="191"/>
      <c r="I57" s="192"/>
      <c r="J57" s="14"/>
      <c r="K57" s="14"/>
      <c r="L57" s="14"/>
      <c r="M57" s="22"/>
      <c r="N57" s="15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3"/>
    </row>
    <row r="58" spans="1:37" ht="15" customHeight="1">
      <c r="A58" s="167" t="s">
        <v>16</v>
      </c>
      <c r="B58" s="168"/>
      <c r="C58" s="169"/>
      <c r="D58" s="170"/>
      <c r="E58" s="171"/>
      <c r="F58" s="171"/>
      <c r="G58" s="171"/>
      <c r="H58" s="171"/>
      <c r="I58" s="172"/>
      <c r="J58" s="14"/>
      <c r="K58" s="14"/>
      <c r="L58" s="14"/>
      <c r="M58" s="23" t="s">
        <v>17</v>
      </c>
      <c r="N58" s="15"/>
      <c r="O58" s="16" t="s">
        <v>45</v>
      </c>
      <c r="P58" s="16" t="s">
        <v>45</v>
      </c>
      <c r="Q58" s="16" t="s">
        <v>45</v>
      </c>
      <c r="R58" s="16" t="s">
        <v>45</v>
      </c>
      <c r="S58" s="16" t="s">
        <v>45</v>
      </c>
      <c r="T58" s="16" t="s">
        <v>45</v>
      </c>
      <c r="U58" s="16" t="s">
        <v>45</v>
      </c>
      <c r="V58" s="16" t="s">
        <v>45</v>
      </c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7"/>
    </row>
    <row r="59" spans="1:37" ht="15" customHeight="1">
      <c r="A59" s="167" t="s">
        <v>18</v>
      </c>
      <c r="B59" s="168"/>
      <c r="C59" s="169"/>
      <c r="D59" s="173"/>
      <c r="E59" s="168"/>
      <c r="F59" s="168"/>
      <c r="G59" s="168"/>
      <c r="H59" s="168"/>
      <c r="I59" s="169"/>
      <c r="J59" s="14"/>
      <c r="K59" s="14"/>
      <c r="L59" s="14"/>
      <c r="M59" s="23" t="s">
        <v>19</v>
      </c>
      <c r="N59" s="15"/>
      <c r="O59" s="16" t="s">
        <v>46</v>
      </c>
      <c r="P59" s="16" t="s">
        <v>46</v>
      </c>
      <c r="Q59" s="16" t="s">
        <v>46</v>
      </c>
      <c r="R59" s="16" t="s">
        <v>46</v>
      </c>
      <c r="S59" s="16" t="s">
        <v>46</v>
      </c>
      <c r="T59" s="16" t="s">
        <v>46</v>
      </c>
      <c r="U59" s="16" t="s">
        <v>46</v>
      </c>
      <c r="V59" s="16" t="s">
        <v>46</v>
      </c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7"/>
    </row>
    <row r="60" spans="1:37" ht="15" customHeight="1">
      <c r="A60" s="174" t="s">
        <v>20</v>
      </c>
      <c r="B60" s="175"/>
      <c r="C60" s="176"/>
      <c r="D60" s="177" t="s">
        <v>21</v>
      </c>
      <c r="E60" s="175"/>
      <c r="F60" s="175"/>
      <c r="G60" s="175"/>
      <c r="H60" s="175"/>
      <c r="I60" s="176"/>
      <c r="N60" s="20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2"/>
    </row>
    <row r="61" spans="1:37" ht="15" customHeight="1">
      <c r="A61" s="18"/>
      <c r="C61" s="19"/>
      <c r="E61" s="88" t="s">
        <v>22</v>
      </c>
      <c r="H61" s="88" t="s">
        <v>23</v>
      </c>
      <c r="I61" s="19"/>
      <c r="M61" s="88" t="s">
        <v>24</v>
      </c>
      <c r="N61" s="20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2"/>
    </row>
    <row r="62" spans="1:37" ht="15" customHeight="1">
      <c r="A62" s="18"/>
      <c r="C62" s="19"/>
      <c r="I62" s="19"/>
      <c r="J62" s="14"/>
      <c r="K62" s="14"/>
      <c r="L62" s="14"/>
      <c r="M62" s="14"/>
      <c r="N62" s="15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7"/>
    </row>
    <row r="63" spans="1:37" ht="15" customHeight="1">
      <c r="A63" s="161" t="s">
        <v>47</v>
      </c>
      <c r="B63" s="162"/>
      <c r="C63" s="163"/>
      <c r="I63" s="19"/>
      <c r="N63" s="20"/>
      <c r="O63" s="5" t="s">
        <v>40</v>
      </c>
      <c r="P63" s="25"/>
      <c r="Q63" s="25"/>
      <c r="R63" s="25"/>
      <c r="S63" s="25"/>
      <c r="T63" s="25"/>
      <c r="V63" s="19"/>
      <c r="AA63" s="19"/>
      <c r="AF63" s="39" t="s">
        <v>2</v>
      </c>
      <c r="AG63" s="36">
        <f>COUNTIF(O58:AK58,"A")</f>
        <v>8</v>
      </c>
      <c r="AH63" s="40" t="s">
        <v>3</v>
      </c>
      <c r="AI63" s="36">
        <f>COUNTIF(O58:AK58,"B")</f>
        <v>0</v>
      </c>
      <c r="AJ63" s="40" t="s">
        <v>4</v>
      </c>
      <c r="AK63" s="34">
        <f>COUNTIF(O58:AK58,"C")</f>
        <v>0</v>
      </c>
    </row>
    <row r="64" spans="1:37" ht="15" customHeight="1">
      <c r="A64" s="18"/>
      <c r="C64" s="19"/>
      <c r="I64" s="19"/>
      <c r="K64" s="1"/>
      <c r="L64" s="1"/>
      <c r="M64" s="1"/>
      <c r="N64" s="54"/>
      <c r="O64" s="5" t="s">
        <v>41</v>
      </c>
      <c r="Q64" s="26"/>
      <c r="V64" s="19"/>
      <c r="Y64" s="88" t="s">
        <v>25</v>
      </c>
      <c r="AA64" s="19"/>
      <c r="AB64" s="45"/>
      <c r="AC64" s="44">
        <v>1</v>
      </c>
      <c r="AD64" s="33"/>
      <c r="AE64" s="44">
        <v>1</v>
      </c>
      <c r="AF64" s="41" t="s">
        <v>5</v>
      </c>
      <c r="AG64" s="37">
        <f>COUNTIF(M59:AI59,"N")</f>
        <v>8</v>
      </c>
      <c r="AH64" s="42" t="s">
        <v>2</v>
      </c>
      <c r="AI64" s="37">
        <f>COUNTIF(O59:AK59,"A")</f>
        <v>0</v>
      </c>
      <c r="AJ64" s="42" t="s">
        <v>3</v>
      </c>
      <c r="AK64" s="35">
        <f>COUNTIF(O59:AK59,"B")</f>
        <v>0</v>
      </c>
    </row>
    <row r="65" spans="1:37" ht="15" customHeight="1" thickBot="1">
      <c r="A65" s="85"/>
      <c r="B65" s="89"/>
      <c r="C65" s="90"/>
      <c r="D65" s="164"/>
      <c r="E65" s="165"/>
      <c r="F65" s="165"/>
      <c r="G65" s="165"/>
      <c r="H65" s="165"/>
      <c r="I65" s="166"/>
      <c r="J65" s="28"/>
      <c r="K65" s="63"/>
      <c r="L65" s="63"/>
      <c r="M65" s="63"/>
      <c r="N65" s="29"/>
      <c r="O65" s="28"/>
      <c r="P65" s="28"/>
      <c r="Q65" s="28"/>
      <c r="R65" s="28"/>
      <c r="S65" s="28"/>
      <c r="T65" s="28"/>
      <c r="U65" s="28"/>
      <c r="V65" s="27"/>
      <c r="W65" s="28"/>
      <c r="X65" s="28"/>
      <c r="Y65" s="28"/>
      <c r="Z65" s="28"/>
      <c r="AA65" s="27"/>
      <c r="AB65" s="28"/>
      <c r="AC65" s="28"/>
      <c r="AD65" s="28"/>
      <c r="AE65" s="28"/>
      <c r="AF65" s="32" t="s">
        <v>6</v>
      </c>
      <c r="AG65" s="28"/>
      <c r="AH65" s="38"/>
      <c r="AI65" s="43">
        <f>SUM(AF63:AK63)</f>
        <v>8</v>
      </c>
      <c r="AJ65" s="28"/>
      <c r="AK65" s="30"/>
    </row>
  </sheetData>
  <mergeCells count="19">
    <mergeCell ref="D52:I55"/>
    <mergeCell ref="C21:N21"/>
    <mergeCell ref="C22:N22"/>
    <mergeCell ref="C25:N25"/>
    <mergeCell ref="C26:N26"/>
    <mergeCell ref="C36:N36"/>
    <mergeCell ref="D65:F65"/>
    <mergeCell ref="G65:I65"/>
    <mergeCell ref="A56:C56"/>
    <mergeCell ref="D56:I56"/>
    <mergeCell ref="A57:C57"/>
    <mergeCell ref="D57:I57"/>
    <mergeCell ref="A58:C58"/>
    <mergeCell ref="D58:I58"/>
    <mergeCell ref="A59:C59"/>
    <mergeCell ref="D59:I59"/>
    <mergeCell ref="A60:C60"/>
    <mergeCell ref="D60:I60"/>
    <mergeCell ref="A63:C63"/>
  </mergeCells>
  <phoneticPr fontId="16"/>
  <printOptions verticalCentered="1" gridLinesSet="0"/>
  <pageMargins left="0.59055118110236227" right="0.31496062992125984" top="0.39370078740157483" bottom="0.39370078740157483" header="0.51181102362204722" footer="0.39370078740157483"/>
  <pageSetup paperSize="9" scale="74" orientation="portrait" horizontalDpi="4294967292" verticalDpi="4294967292" r:id="rId1"/>
  <headerFooter alignWithMargins="0">
    <oddFooter>&amp;R&amp;"ＭＳ 明朝,斜体"&amp;8All Rights Reserved,Copy Right 2002,Hitachi Software Engineering Co.,Ltd.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5569" r:id="rId4" name="Button 1">
              <controlPr defaultSize="0" print="0" autoFill="0" autoLine="0" autoPict="0" macro="[0]!リスト5_Change">
                <anchor moveWithCells="1" sizeWithCells="1">
                  <from>
                    <xdr:col>0</xdr:col>
                    <xdr:colOff>76200</xdr:colOff>
                    <xdr:row>65</xdr:row>
                    <xdr:rowOff>114300</xdr:rowOff>
                  </from>
                  <to>
                    <xdr:col>5</xdr:col>
                    <xdr:colOff>142875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0" r:id="rId5" name="Button 2">
              <controlPr defaultSize="0" print="0" autoFill="0" autoLine="0" autoPict="0" macro="[0]!DrawCheck.DrawCheck">
                <anchor moveWithCells="1" sizeWithCells="1">
                  <from>
                    <xdr:col>11</xdr:col>
                    <xdr:colOff>180975</xdr:colOff>
                    <xdr:row>1</xdr:row>
                    <xdr:rowOff>762000</xdr:rowOff>
                  </from>
                  <to>
                    <xdr:col>13</xdr:col>
                    <xdr:colOff>476250</xdr:colOff>
                    <xdr:row>1</xdr:row>
                    <xdr:rowOff>1066800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1" r:id="rId6" name="Button 3">
              <controlPr defaultSize="0" print="0" autoFill="0" autoLine="0" autoPict="0" macro="[0]!Cancel_Click">
                <anchor moveWithCells="1" sizeWithCells="1">
                  <from>
                    <xdr:col>11</xdr:col>
                    <xdr:colOff>180975</xdr:colOff>
                    <xdr:row>1</xdr:row>
                    <xdr:rowOff>419100</xdr:rowOff>
                  </from>
                  <to>
                    <xdr:col>13</xdr:col>
                    <xdr:colOff>476250</xdr:colOff>
                    <xdr:row>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2" r:id="rId7" name="Button 4">
              <controlPr defaultSize="0" print="0" autoFill="0" autoLine="0" autoPict="0" macro="[0]!ボタン41_Click">
                <anchor moveWithCells="1" sizeWithCells="1">
                  <from>
                    <xdr:col>1</xdr:col>
                    <xdr:colOff>0</xdr:colOff>
                    <xdr:row>1</xdr:row>
                    <xdr:rowOff>1000125</xdr:rowOff>
                  </from>
                  <to>
                    <xdr:col>4</xdr:col>
                    <xdr:colOff>133350</xdr:colOff>
                    <xdr:row>1</xdr:row>
                    <xdr:rowOff>1352550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3" r:id="rId8" name="Button 5">
              <controlPr defaultSize="0" print="0" autoFill="0" autoLine="0" autoPict="0" macro="[0]!ENTER_A">
                <anchor moveWithCells="1" sizeWithCells="1">
                  <from>
                    <xdr:col>10</xdr:col>
                    <xdr:colOff>209550</xdr:colOff>
                    <xdr:row>1</xdr:row>
                    <xdr:rowOff>1257300</xdr:rowOff>
                  </from>
                  <to>
                    <xdr:col>12</xdr:col>
                    <xdr:colOff>38100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4" r:id="rId9" name="Button 6">
              <controlPr defaultSize="0" print="0" autoFill="0" autoLine="0" autoPict="0" macro="[0]!ENTER_B">
                <anchor moveWithCells="1" sizeWithCells="1">
                  <from>
                    <xdr:col>12</xdr:col>
                    <xdr:colOff>47625</xdr:colOff>
                    <xdr:row>1</xdr:row>
                    <xdr:rowOff>1257300</xdr:rowOff>
                  </from>
                  <to>
                    <xdr:col>13</xdr:col>
                    <xdr:colOff>142875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5" r:id="rId10" name="Button 7">
              <controlPr defaultSize="0" print="0" autoFill="0" autoLine="0" autoPict="0" macro="[0]!ENTER_C">
                <anchor moveWithCells="1" sizeWithCells="1">
                  <from>
                    <xdr:col>13</xdr:col>
                    <xdr:colOff>161925</xdr:colOff>
                    <xdr:row>1</xdr:row>
                    <xdr:rowOff>1257300</xdr:rowOff>
                  </from>
                  <to>
                    <xdr:col>13</xdr:col>
                    <xdr:colOff>485775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6" r:id="rId11" name="Button 8">
              <controlPr defaultSize="0" print="0" autoFill="0" autoLine="0" autoPict="0" macro="[0]!ENTER_N">
                <anchor moveWithCells="1" sizeWithCells="1">
                  <from>
                    <xdr:col>9</xdr:col>
                    <xdr:colOff>95250</xdr:colOff>
                    <xdr:row>1</xdr:row>
                    <xdr:rowOff>1257300</xdr:rowOff>
                  </from>
                  <to>
                    <xdr:col>10</xdr:col>
                    <xdr:colOff>200025</xdr:colOff>
                    <xdr:row>1</xdr:row>
                    <xdr:rowOff>1524000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DFF51-7F26-498C-A786-429BFA21D2BE}">
  <sheetPr codeName="Sheet51">
    <pageSetUpPr fitToPage="1"/>
  </sheetPr>
  <dimension ref="A1:AO65"/>
  <sheetViews>
    <sheetView showGridLines="0" showOutlineSymbols="0" defaultGridColor="0" colorId="8" zoomScaleNormal="100" workbookViewId="0">
      <pane xSplit="14" ySplit="2" topLeftCell="O12" activePane="bottomRight" state="frozen"/>
      <selection activeCell="I22" sqref="I22"/>
      <selection pane="topRight" activeCell="I22" sqref="I22"/>
      <selection pane="bottomLeft" activeCell="I22" sqref="I22"/>
      <selection pane="bottomRight"/>
    </sheetView>
  </sheetViews>
  <sheetFormatPr defaultColWidth="9.140625" defaultRowHeight="15" customHeight="1"/>
  <cols>
    <col min="1" max="13" width="3.5703125" style="5" customWidth="1"/>
    <col min="14" max="14" width="11.85546875" style="31" customWidth="1"/>
    <col min="15" max="238" width="3.5703125" style="5" customWidth="1"/>
    <col min="239" max="16384" width="9.140625" style="5"/>
  </cols>
  <sheetData>
    <row r="1" spans="1:41" ht="24.95" customHeight="1">
      <c r="A1" s="66" t="s">
        <v>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74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6"/>
    </row>
    <row r="2" spans="1:41" s="9" customFormat="1" ht="135" customHeight="1">
      <c r="A2" s="6"/>
      <c r="N2" s="58"/>
      <c r="O2" s="117" t="s">
        <v>225</v>
      </c>
      <c r="P2" s="117" t="s">
        <v>226</v>
      </c>
      <c r="Q2" s="117" t="s">
        <v>227</v>
      </c>
      <c r="R2" s="117" t="s">
        <v>228</v>
      </c>
      <c r="S2" s="117" t="s">
        <v>229</v>
      </c>
      <c r="T2" s="117" t="s">
        <v>230</v>
      </c>
      <c r="U2" s="117" t="s">
        <v>231</v>
      </c>
      <c r="V2" s="117" t="s">
        <v>232</v>
      </c>
      <c r="W2" s="67" t="s">
        <v>233</v>
      </c>
      <c r="X2" s="67" t="s">
        <v>234</v>
      </c>
      <c r="Y2" s="67"/>
      <c r="Z2" s="67"/>
      <c r="AA2" s="67"/>
      <c r="AB2" s="67"/>
      <c r="AC2" s="67"/>
      <c r="AD2" s="67"/>
      <c r="AE2" s="64"/>
      <c r="AF2" s="64"/>
      <c r="AG2" s="64"/>
      <c r="AH2" s="64"/>
      <c r="AI2" s="64"/>
      <c r="AJ2" s="64"/>
      <c r="AK2" s="65"/>
      <c r="AL2" s="7"/>
      <c r="AM2" s="8"/>
      <c r="AN2" s="7"/>
    </row>
    <row r="3" spans="1:41" ht="15" customHeight="1">
      <c r="A3" s="55"/>
      <c r="B3" s="80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8"/>
      <c r="O3" s="119"/>
      <c r="P3" s="119"/>
      <c r="Q3" s="119"/>
      <c r="R3" s="118"/>
      <c r="S3" s="119"/>
      <c r="T3" s="119"/>
      <c r="U3" s="119"/>
      <c r="V3" s="118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3"/>
    </row>
    <row r="4" spans="1:41" ht="15" customHeight="1">
      <c r="A4" s="56"/>
      <c r="B4" s="96" t="s">
        <v>125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8"/>
      <c r="O4" s="119"/>
      <c r="P4" s="119"/>
      <c r="Q4" s="119"/>
      <c r="R4" s="119"/>
      <c r="S4" s="119"/>
      <c r="T4" s="119"/>
      <c r="U4" s="119"/>
      <c r="V4" s="119"/>
      <c r="W4" s="57"/>
      <c r="X4" s="57"/>
      <c r="Y4" s="52"/>
      <c r="Z4" s="57"/>
      <c r="AA4" s="57"/>
      <c r="AB4" s="57"/>
      <c r="AC4" s="57"/>
      <c r="AD4" s="52"/>
      <c r="AE4" s="57"/>
      <c r="AF4" s="57"/>
      <c r="AG4" s="57"/>
      <c r="AH4" s="52"/>
      <c r="AI4" s="52"/>
      <c r="AJ4" s="52"/>
      <c r="AK4" s="53"/>
      <c r="AM4" s="120"/>
      <c r="AN4" s="120"/>
      <c r="AO4" s="116" t="s">
        <v>123</v>
      </c>
    </row>
    <row r="5" spans="1:41" ht="15" customHeight="1">
      <c r="A5" s="91"/>
      <c r="B5" s="59"/>
      <c r="C5" s="92" t="s">
        <v>127</v>
      </c>
      <c r="D5" s="93"/>
      <c r="E5" s="93"/>
      <c r="F5" s="93"/>
      <c r="G5" s="93"/>
      <c r="H5" s="93"/>
      <c r="I5" s="93"/>
      <c r="J5" s="93"/>
      <c r="K5" s="93"/>
      <c r="L5" s="93"/>
      <c r="M5" s="93"/>
      <c r="N5" s="94"/>
      <c r="O5" s="119" t="s">
        <v>83</v>
      </c>
      <c r="P5" s="119" t="s">
        <v>83</v>
      </c>
      <c r="Q5" s="119" t="s">
        <v>83</v>
      </c>
      <c r="R5" s="119" t="s">
        <v>83</v>
      </c>
      <c r="S5" s="119" t="s">
        <v>83</v>
      </c>
      <c r="T5" s="119" t="s">
        <v>83</v>
      </c>
      <c r="U5" s="119" t="s">
        <v>83</v>
      </c>
      <c r="V5" s="119" t="s">
        <v>83</v>
      </c>
      <c r="W5" s="57" t="s">
        <v>83</v>
      </c>
      <c r="X5" s="57" t="s">
        <v>83</v>
      </c>
      <c r="Y5" s="57"/>
      <c r="Z5" s="57"/>
      <c r="AA5" s="57"/>
      <c r="AB5" s="57"/>
      <c r="AC5" s="57"/>
      <c r="AD5" s="57"/>
      <c r="AE5" s="57"/>
      <c r="AF5" s="57"/>
      <c r="AG5" s="52"/>
      <c r="AH5" s="52"/>
      <c r="AI5" s="52"/>
      <c r="AJ5" s="52"/>
      <c r="AK5" s="53"/>
      <c r="AM5" s="116" t="s">
        <v>124</v>
      </c>
    </row>
    <row r="6" spans="1:41" ht="15" customHeight="1">
      <c r="A6" s="56" t="s">
        <v>49</v>
      </c>
      <c r="B6" s="96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8"/>
      <c r="O6" s="119"/>
      <c r="P6" s="119"/>
      <c r="Q6" s="118"/>
      <c r="R6" s="119"/>
      <c r="S6" s="119"/>
      <c r="T6" s="119"/>
      <c r="U6" s="118"/>
      <c r="V6" s="119"/>
      <c r="W6" s="52"/>
      <c r="X6" s="52"/>
      <c r="Y6" s="52"/>
      <c r="Z6" s="52"/>
      <c r="AA6" s="57"/>
      <c r="AB6" s="57"/>
      <c r="AC6" s="52"/>
      <c r="AD6" s="57"/>
      <c r="AE6" s="57"/>
      <c r="AF6" s="52"/>
      <c r="AG6" s="52"/>
      <c r="AH6" s="52"/>
      <c r="AI6" s="52"/>
      <c r="AJ6" s="52"/>
      <c r="AK6" s="53"/>
    </row>
    <row r="7" spans="1:41" ht="15" customHeight="1">
      <c r="A7" s="56" t="s">
        <v>8</v>
      </c>
      <c r="B7" s="96" t="s">
        <v>72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8"/>
      <c r="O7" s="119"/>
      <c r="P7" s="119"/>
      <c r="Q7" s="118"/>
      <c r="R7" s="119"/>
      <c r="S7" s="119"/>
      <c r="T7" s="119"/>
      <c r="U7" s="118"/>
      <c r="V7" s="119"/>
      <c r="W7" s="52"/>
      <c r="X7" s="52"/>
      <c r="Y7" s="57"/>
      <c r="Z7" s="57"/>
      <c r="AA7" s="57"/>
      <c r="AB7" s="57"/>
      <c r="AC7" s="52"/>
      <c r="AD7" s="57"/>
      <c r="AE7" s="57"/>
      <c r="AF7" s="57"/>
      <c r="AG7" s="52"/>
      <c r="AH7" s="57"/>
      <c r="AI7" s="52"/>
      <c r="AJ7" s="52"/>
      <c r="AK7" s="53"/>
    </row>
    <row r="8" spans="1:41" ht="15" customHeight="1">
      <c r="A8" s="56" t="s">
        <v>42</v>
      </c>
      <c r="B8" s="80"/>
      <c r="C8" s="96" t="s">
        <v>53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8"/>
      <c r="O8" s="119"/>
      <c r="P8" s="119"/>
      <c r="Q8" s="119"/>
      <c r="R8" s="119"/>
      <c r="S8" s="119"/>
      <c r="T8" s="119"/>
      <c r="U8" s="119"/>
      <c r="V8" s="119"/>
      <c r="W8" s="125"/>
      <c r="X8" s="125"/>
      <c r="Y8" s="125"/>
      <c r="Z8" s="125"/>
      <c r="AA8" s="57"/>
      <c r="AB8" s="52"/>
      <c r="AC8" s="57"/>
      <c r="AD8" s="52"/>
      <c r="AE8" s="57"/>
      <c r="AF8" s="57"/>
      <c r="AG8" s="57"/>
      <c r="AH8" s="57"/>
      <c r="AI8" s="52"/>
      <c r="AJ8" s="52"/>
      <c r="AK8" s="17"/>
    </row>
    <row r="9" spans="1:41" ht="15" customHeight="1">
      <c r="A9" s="56" t="s">
        <v>9</v>
      </c>
      <c r="B9" s="80"/>
      <c r="C9" s="99"/>
      <c r="D9" s="92" t="s">
        <v>54</v>
      </c>
      <c r="E9" s="93"/>
      <c r="F9" s="93"/>
      <c r="G9" s="93"/>
      <c r="H9" s="93"/>
      <c r="I9" s="93"/>
      <c r="J9" s="93"/>
      <c r="K9" s="93"/>
      <c r="L9" s="93"/>
      <c r="M9" s="93"/>
      <c r="N9" s="94"/>
      <c r="O9" s="119" t="s">
        <v>83</v>
      </c>
      <c r="P9" s="119" t="s">
        <v>83</v>
      </c>
      <c r="Q9" s="119" t="s">
        <v>83</v>
      </c>
      <c r="R9" s="119" t="s">
        <v>83</v>
      </c>
      <c r="S9" s="119" t="s">
        <v>83</v>
      </c>
      <c r="T9" s="119" t="s">
        <v>83</v>
      </c>
      <c r="U9" s="119" t="s">
        <v>83</v>
      </c>
      <c r="V9" s="119" t="s">
        <v>83</v>
      </c>
      <c r="W9" s="52"/>
      <c r="X9" s="52"/>
      <c r="Y9" s="52"/>
      <c r="Z9" s="52"/>
      <c r="AA9" s="52"/>
      <c r="AB9" s="52"/>
      <c r="AC9" s="57"/>
      <c r="AD9" s="52"/>
      <c r="AE9" s="57"/>
      <c r="AF9" s="57"/>
      <c r="AG9" s="57"/>
      <c r="AH9" s="57"/>
      <c r="AI9" s="52"/>
      <c r="AJ9" s="52"/>
      <c r="AK9" s="17"/>
    </row>
    <row r="10" spans="1:41" ht="15" customHeight="1">
      <c r="A10" s="56" t="s">
        <v>10</v>
      </c>
      <c r="B10" s="80"/>
      <c r="C10" s="99"/>
      <c r="D10" s="77" t="s">
        <v>79</v>
      </c>
      <c r="E10" s="77"/>
      <c r="F10" s="77"/>
      <c r="G10" s="77"/>
      <c r="H10" s="77"/>
      <c r="I10" s="77"/>
      <c r="J10" s="77"/>
      <c r="K10" s="77"/>
      <c r="L10" s="77"/>
      <c r="M10" s="77"/>
      <c r="N10" s="78"/>
      <c r="O10" s="119"/>
      <c r="P10" s="119"/>
      <c r="Q10" s="119"/>
      <c r="R10" s="119"/>
      <c r="S10" s="119"/>
      <c r="T10" s="118"/>
      <c r="U10" s="118"/>
      <c r="V10" s="118"/>
      <c r="W10" s="57" t="s">
        <v>83</v>
      </c>
      <c r="X10" s="57"/>
      <c r="Y10" s="52"/>
      <c r="Z10" s="52"/>
      <c r="AA10" s="52"/>
      <c r="AB10" s="52"/>
      <c r="AC10" s="57"/>
      <c r="AD10" s="52"/>
      <c r="AE10" s="57"/>
      <c r="AF10" s="57"/>
      <c r="AG10" s="57"/>
      <c r="AH10" s="57"/>
      <c r="AI10" s="52"/>
      <c r="AJ10" s="52"/>
      <c r="AK10" s="17"/>
    </row>
    <row r="11" spans="1:41" ht="15" customHeight="1">
      <c r="A11" s="56" t="s">
        <v>11</v>
      </c>
      <c r="B11" s="95"/>
      <c r="C11" s="95"/>
      <c r="D11" s="92" t="s">
        <v>80</v>
      </c>
      <c r="E11" s="93"/>
      <c r="F11" s="93"/>
      <c r="G11" s="93"/>
      <c r="H11" s="93"/>
      <c r="I11" s="93"/>
      <c r="J11" s="93"/>
      <c r="K11" s="93"/>
      <c r="L11" s="93"/>
      <c r="M11" s="93"/>
      <c r="N11" s="94"/>
      <c r="O11" s="119"/>
      <c r="P11" s="119"/>
      <c r="Q11" s="119"/>
      <c r="R11" s="119"/>
      <c r="S11" s="119"/>
      <c r="T11" s="118"/>
      <c r="U11" s="118"/>
      <c r="V11" s="118"/>
      <c r="W11" s="52"/>
      <c r="X11" s="57" t="s">
        <v>83</v>
      </c>
      <c r="Y11" s="57"/>
      <c r="Z11" s="57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17"/>
    </row>
    <row r="12" spans="1:41" ht="15" customHeight="1">
      <c r="A12" s="56"/>
      <c r="B12" s="80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119"/>
      <c r="P12" s="119"/>
      <c r="Q12" s="119"/>
      <c r="R12" s="119"/>
      <c r="S12" s="119"/>
      <c r="T12" s="119"/>
      <c r="U12" s="119"/>
      <c r="V12" s="119"/>
      <c r="W12" s="57"/>
      <c r="X12" s="52"/>
      <c r="Y12" s="57"/>
      <c r="Z12" s="52"/>
      <c r="AA12" s="57"/>
      <c r="AB12" s="52"/>
      <c r="AC12" s="57"/>
      <c r="AD12" s="52"/>
      <c r="AE12" s="57"/>
      <c r="AF12" s="57"/>
      <c r="AG12" s="57"/>
      <c r="AH12" s="57"/>
      <c r="AI12" s="52"/>
      <c r="AJ12" s="52"/>
      <c r="AK12" s="17"/>
    </row>
    <row r="13" spans="1:41" ht="15" customHeight="1">
      <c r="A13" s="56"/>
      <c r="B13" s="96" t="s">
        <v>113</v>
      </c>
      <c r="C13" s="96"/>
      <c r="D13" s="96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19"/>
      <c r="P13" s="119"/>
      <c r="Q13" s="119"/>
      <c r="R13" s="119"/>
      <c r="S13" s="119"/>
      <c r="T13" s="119"/>
      <c r="U13" s="119"/>
      <c r="V13" s="119"/>
      <c r="W13" s="57"/>
      <c r="X13" s="57"/>
      <c r="Y13" s="57"/>
      <c r="Z13" s="57"/>
      <c r="AA13" s="57"/>
      <c r="AB13" s="57"/>
      <c r="AC13" s="52"/>
      <c r="AD13" s="52"/>
      <c r="AE13" s="57"/>
      <c r="AF13" s="57"/>
      <c r="AG13" s="52"/>
      <c r="AH13" s="52"/>
      <c r="AI13" s="52"/>
      <c r="AJ13" s="52"/>
      <c r="AK13" s="53"/>
    </row>
    <row r="14" spans="1:41" ht="15" customHeight="1">
      <c r="B14" s="80"/>
      <c r="C14" s="92" t="s">
        <v>114</v>
      </c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4"/>
      <c r="O14" s="119" t="s">
        <v>83</v>
      </c>
      <c r="P14" s="119" t="s">
        <v>83</v>
      </c>
      <c r="Q14" s="119" t="s">
        <v>83</v>
      </c>
      <c r="R14" s="119" t="s">
        <v>83</v>
      </c>
      <c r="S14" s="119" t="s">
        <v>83</v>
      </c>
      <c r="T14" s="119" t="s">
        <v>83</v>
      </c>
      <c r="U14" s="119" t="s">
        <v>83</v>
      </c>
      <c r="V14" s="119" t="s">
        <v>83</v>
      </c>
      <c r="W14" s="125" t="s">
        <v>83</v>
      </c>
      <c r="X14" s="125" t="s">
        <v>83</v>
      </c>
      <c r="Y14" s="125"/>
      <c r="Z14" s="125"/>
      <c r="AA14" s="57"/>
      <c r="AB14" s="57"/>
      <c r="AC14" s="52"/>
      <c r="AD14" s="52"/>
      <c r="AE14" s="57"/>
      <c r="AF14" s="57"/>
      <c r="AG14" s="52"/>
      <c r="AH14" s="52"/>
      <c r="AI14" s="52"/>
      <c r="AJ14" s="52"/>
      <c r="AK14" s="53"/>
    </row>
    <row r="15" spans="1:41" ht="15" customHeight="1">
      <c r="B15" s="96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19"/>
      <c r="P15" s="119"/>
      <c r="Q15" s="119"/>
      <c r="R15" s="118"/>
      <c r="S15" s="119"/>
      <c r="T15" s="119"/>
      <c r="U15" s="119"/>
      <c r="V15" s="119"/>
      <c r="W15" s="57"/>
      <c r="X15" s="52"/>
      <c r="Y15" s="57"/>
      <c r="Z15" s="57"/>
      <c r="AA15" s="57"/>
      <c r="AB15" s="57"/>
      <c r="AC15" s="52"/>
      <c r="AD15" s="52"/>
      <c r="AE15" s="57"/>
      <c r="AF15" s="57"/>
      <c r="AG15" s="52"/>
      <c r="AH15" s="52"/>
      <c r="AI15" s="52"/>
      <c r="AJ15" s="52"/>
      <c r="AK15" s="53"/>
    </row>
    <row r="16" spans="1:41" ht="15" customHeight="1">
      <c r="A16" s="56"/>
      <c r="B16" s="96" t="s">
        <v>104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8"/>
      <c r="O16" s="119"/>
      <c r="P16" s="119"/>
      <c r="Q16" s="119"/>
      <c r="R16" s="119"/>
      <c r="S16" s="119"/>
      <c r="T16" s="119"/>
      <c r="U16" s="119"/>
      <c r="V16" s="119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2"/>
      <c r="AJ16" s="52"/>
      <c r="AK16" s="53"/>
    </row>
    <row r="17" spans="1:37" ht="15" customHeight="1">
      <c r="A17" s="56"/>
      <c r="B17" s="80"/>
      <c r="C17" s="148" t="s">
        <v>109</v>
      </c>
      <c r="D17" s="149"/>
      <c r="E17" s="149"/>
      <c r="F17" s="149"/>
      <c r="G17" s="149"/>
      <c r="H17" s="149"/>
      <c r="I17" s="149"/>
      <c r="J17" s="149"/>
      <c r="K17" s="149"/>
      <c r="L17" s="149"/>
      <c r="M17" s="149"/>
      <c r="N17" s="150"/>
      <c r="O17" s="145"/>
      <c r="P17" s="145"/>
      <c r="Q17" s="146"/>
      <c r="R17" s="145"/>
      <c r="S17" s="145"/>
      <c r="T17" s="145"/>
      <c r="U17" s="146"/>
      <c r="V17" s="145"/>
      <c r="W17" s="146"/>
      <c r="X17" s="146"/>
      <c r="Y17" s="145"/>
      <c r="Z17" s="146"/>
      <c r="AA17" s="145"/>
      <c r="AB17" s="145"/>
      <c r="AC17" s="145"/>
      <c r="AD17" s="146"/>
      <c r="AE17" s="146"/>
      <c r="AF17" s="146"/>
      <c r="AG17" s="146"/>
      <c r="AH17" s="146"/>
      <c r="AI17" s="146"/>
      <c r="AJ17" s="146"/>
      <c r="AK17" s="147"/>
    </row>
    <row r="18" spans="1:37" ht="15" customHeight="1">
      <c r="A18" s="56"/>
      <c r="B18" s="80"/>
      <c r="C18" s="148" t="s">
        <v>122</v>
      </c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50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6"/>
      <c r="AE18" s="145"/>
      <c r="AF18" s="145"/>
      <c r="AG18" s="145"/>
      <c r="AH18" s="146"/>
      <c r="AI18" s="146"/>
      <c r="AJ18" s="146"/>
      <c r="AK18" s="147"/>
    </row>
    <row r="19" spans="1:37" ht="15" customHeight="1">
      <c r="A19" s="56"/>
      <c r="B19" s="80"/>
      <c r="C19" s="80" t="s">
        <v>110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8"/>
      <c r="O19" s="119" t="s">
        <v>83</v>
      </c>
      <c r="P19" s="119" t="s">
        <v>83</v>
      </c>
      <c r="Q19" s="119"/>
      <c r="R19" s="119"/>
      <c r="S19" s="119"/>
      <c r="T19" s="119"/>
      <c r="U19" s="119"/>
      <c r="V19" s="119"/>
      <c r="W19" s="125" t="s">
        <v>83</v>
      </c>
      <c r="X19" s="125" t="s">
        <v>83</v>
      </c>
      <c r="Y19" s="57"/>
      <c r="Z19" s="57"/>
      <c r="AA19" s="57"/>
      <c r="AB19" s="57"/>
      <c r="AC19" s="57"/>
      <c r="AD19" s="57"/>
      <c r="AE19" s="57"/>
      <c r="AF19" s="57"/>
      <c r="AG19" s="52"/>
      <c r="AH19" s="52"/>
      <c r="AI19" s="52"/>
      <c r="AJ19" s="52"/>
      <c r="AK19" s="53"/>
    </row>
    <row r="20" spans="1:37" ht="15" customHeight="1">
      <c r="A20" s="56"/>
      <c r="B20" s="80"/>
      <c r="C20" s="92" t="s">
        <v>111</v>
      </c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4"/>
      <c r="O20" s="119"/>
      <c r="P20" s="119"/>
      <c r="Q20" s="119" t="s">
        <v>83</v>
      </c>
      <c r="R20" s="119" t="s">
        <v>83</v>
      </c>
      <c r="S20" s="119"/>
      <c r="T20" s="119"/>
      <c r="U20" s="119"/>
      <c r="V20" s="119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2"/>
      <c r="AH20" s="52"/>
      <c r="AI20" s="52"/>
      <c r="AJ20" s="52"/>
      <c r="AK20" s="53"/>
    </row>
    <row r="21" spans="1:37" ht="30.75" customHeight="1">
      <c r="A21" s="56"/>
      <c r="B21" s="80"/>
      <c r="C21" s="199" t="s">
        <v>118</v>
      </c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1"/>
      <c r="O21" s="119"/>
      <c r="P21" s="119"/>
      <c r="Q21" s="119"/>
      <c r="R21" s="119"/>
      <c r="S21" s="119" t="s">
        <v>83</v>
      </c>
      <c r="T21" s="119" t="s">
        <v>83</v>
      </c>
      <c r="U21" s="119"/>
      <c r="V21" s="119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2"/>
      <c r="AH21" s="52"/>
      <c r="AI21" s="52"/>
      <c r="AJ21" s="52"/>
      <c r="AK21" s="53"/>
    </row>
    <row r="22" spans="1:37" ht="30" customHeight="1">
      <c r="A22" s="56"/>
      <c r="B22" s="79"/>
      <c r="C22" s="181" t="s">
        <v>119</v>
      </c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3"/>
      <c r="O22" s="119"/>
      <c r="P22" s="119"/>
      <c r="Q22" s="119"/>
      <c r="R22" s="119"/>
      <c r="S22" s="119"/>
      <c r="T22" s="119"/>
      <c r="U22" s="119" t="s">
        <v>83</v>
      </c>
      <c r="V22" s="119" t="s">
        <v>83</v>
      </c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2"/>
      <c r="AH22" s="52"/>
      <c r="AI22" s="52"/>
      <c r="AJ22" s="52"/>
      <c r="AK22" s="53"/>
    </row>
    <row r="23" spans="1:37" ht="15" customHeight="1">
      <c r="B23" s="79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2"/>
      <c r="O23" s="119"/>
      <c r="P23" s="119"/>
      <c r="Q23" s="118"/>
      <c r="R23" s="118"/>
      <c r="S23" s="119"/>
      <c r="T23" s="119"/>
      <c r="U23" s="119"/>
      <c r="V23" s="119"/>
      <c r="W23" s="52"/>
      <c r="X23" s="52"/>
      <c r="Y23" s="57"/>
      <c r="Z23" s="57"/>
      <c r="AA23" s="57"/>
      <c r="AB23" s="57"/>
      <c r="AC23" s="57"/>
      <c r="AD23" s="52"/>
      <c r="AE23" s="57"/>
      <c r="AF23" s="57"/>
      <c r="AG23" s="57"/>
      <c r="AH23" s="52"/>
      <c r="AI23" s="52"/>
      <c r="AJ23" s="52"/>
      <c r="AK23" s="53"/>
    </row>
    <row r="24" spans="1:37" ht="15" customHeight="1">
      <c r="A24" s="102"/>
      <c r="B24" s="96" t="s">
        <v>117</v>
      </c>
      <c r="C24" s="139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1"/>
      <c r="O24" s="119"/>
      <c r="P24" s="119"/>
      <c r="Q24" s="119"/>
      <c r="R24" s="119"/>
      <c r="S24" s="119"/>
      <c r="T24" s="119"/>
      <c r="U24" s="119"/>
      <c r="V24" s="119"/>
      <c r="W24" s="57"/>
      <c r="X24" s="57"/>
      <c r="Y24" s="57"/>
      <c r="Z24" s="57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17"/>
    </row>
    <row r="25" spans="1:37" ht="15" customHeight="1">
      <c r="A25" s="56"/>
      <c r="B25" s="13"/>
      <c r="C25" s="204" t="s">
        <v>116</v>
      </c>
      <c r="D25" s="205"/>
      <c r="E25" s="205"/>
      <c r="F25" s="205"/>
      <c r="G25" s="205"/>
      <c r="H25" s="205"/>
      <c r="I25" s="205"/>
      <c r="J25" s="205"/>
      <c r="K25" s="205"/>
      <c r="L25" s="205"/>
      <c r="M25" s="205"/>
      <c r="N25" s="206"/>
      <c r="O25" s="119" t="s">
        <v>83</v>
      </c>
      <c r="P25" s="119" t="s">
        <v>83</v>
      </c>
      <c r="Q25" s="119" t="s">
        <v>83</v>
      </c>
      <c r="R25" s="119" t="s">
        <v>83</v>
      </c>
      <c r="S25" s="119" t="s">
        <v>83</v>
      </c>
      <c r="T25" s="119" t="s">
        <v>83</v>
      </c>
      <c r="U25" s="119" t="s">
        <v>83</v>
      </c>
      <c r="V25" s="119" t="s">
        <v>83</v>
      </c>
      <c r="W25" s="125" t="s">
        <v>83</v>
      </c>
      <c r="X25" s="125" t="s">
        <v>83</v>
      </c>
      <c r="Y25" s="57"/>
      <c r="Z25" s="57"/>
      <c r="AA25" s="57"/>
      <c r="AB25" s="57"/>
      <c r="AC25" s="57"/>
      <c r="AD25" s="57"/>
      <c r="AE25" s="57"/>
      <c r="AF25" s="57"/>
      <c r="AG25" s="52"/>
      <c r="AH25" s="52"/>
      <c r="AI25" s="52"/>
      <c r="AJ25" s="52"/>
      <c r="AK25" s="17"/>
    </row>
    <row r="26" spans="1:37" ht="15" customHeight="1">
      <c r="A26" s="56"/>
      <c r="B26" s="79"/>
      <c r="C26" s="207"/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08"/>
      <c r="O26" s="119"/>
      <c r="P26" s="119"/>
      <c r="Q26" s="119"/>
      <c r="R26" s="119"/>
      <c r="S26" s="119"/>
      <c r="T26" s="119"/>
      <c r="U26" s="119"/>
      <c r="V26" s="119"/>
      <c r="W26" s="57"/>
      <c r="X26" s="52"/>
      <c r="Y26" s="57"/>
      <c r="Z26" s="57"/>
      <c r="AA26" s="57"/>
      <c r="AB26" s="57"/>
      <c r="AC26" s="52"/>
      <c r="AD26" s="57"/>
      <c r="AE26" s="52"/>
      <c r="AF26" s="52"/>
      <c r="AG26" s="52"/>
      <c r="AH26" s="52"/>
      <c r="AI26" s="52"/>
      <c r="AJ26" s="52"/>
      <c r="AK26" s="17"/>
    </row>
    <row r="27" spans="1:37" ht="15" customHeight="1">
      <c r="B27" s="96" t="s">
        <v>73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4"/>
      <c r="O27" s="119"/>
      <c r="P27" s="119"/>
      <c r="Q27" s="119"/>
      <c r="R27" s="119"/>
      <c r="S27" s="119"/>
      <c r="T27" s="119"/>
      <c r="U27" s="119"/>
      <c r="V27" s="119"/>
      <c r="W27" s="57"/>
      <c r="X27" s="57"/>
      <c r="Y27" s="57"/>
      <c r="Z27" s="57"/>
      <c r="AA27" s="57"/>
      <c r="AB27" s="57"/>
      <c r="AC27" s="57"/>
      <c r="AD27" s="52"/>
      <c r="AE27" s="57"/>
      <c r="AF27" s="57"/>
      <c r="AG27" s="57"/>
      <c r="AH27" s="52"/>
      <c r="AI27" s="52"/>
      <c r="AJ27" s="52"/>
      <c r="AK27" s="53"/>
    </row>
    <row r="28" spans="1:37" ht="15" customHeight="1">
      <c r="A28" s="56"/>
      <c r="B28" s="80"/>
      <c r="C28" s="92" t="s">
        <v>74</v>
      </c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4"/>
      <c r="O28" s="119" t="s">
        <v>83</v>
      </c>
      <c r="P28" s="119"/>
      <c r="Q28" s="119" t="s">
        <v>83</v>
      </c>
      <c r="R28" s="119"/>
      <c r="S28" s="119" t="s">
        <v>83</v>
      </c>
      <c r="T28" s="119"/>
      <c r="U28" s="119" t="s">
        <v>83</v>
      </c>
      <c r="V28" s="119"/>
      <c r="W28" s="125" t="s">
        <v>83</v>
      </c>
      <c r="X28" s="125" t="s">
        <v>83</v>
      </c>
      <c r="Y28" s="57"/>
      <c r="Z28" s="57"/>
      <c r="AA28" s="57"/>
      <c r="AB28" s="57"/>
      <c r="AC28" s="57"/>
      <c r="AD28" s="52"/>
      <c r="AE28" s="57"/>
      <c r="AF28" s="57"/>
      <c r="AG28" s="57"/>
      <c r="AH28" s="52"/>
      <c r="AI28" s="52"/>
      <c r="AJ28" s="52"/>
      <c r="AK28" s="53"/>
    </row>
    <row r="29" spans="1:37" ht="15" customHeight="1">
      <c r="A29" s="56"/>
      <c r="B29" s="79"/>
      <c r="C29" s="92" t="s">
        <v>75</v>
      </c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4"/>
      <c r="O29" s="119"/>
      <c r="P29" s="119" t="s">
        <v>83</v>
      </c>
      <c r="Q29" s="119"/>
      <c r="R29" s="119" t="s">
        <v>83</v>
      </c>
      <c r="S29" s="119"/>
      <c r="T29" s="119" t="s">
        <v>83</v>
      </c>
      <c r="U29" s="119"/>
      <c r="V29" s="119" t="s">
        <v>83</v>
      </c>
      <c r="W29" s="57"/>
      <c r="X29" s="57"/>
      <c r="Y29" s="57"/>
      <c r="Z29" s="57"/>
      <c r="AA29" s="57"/>
      <c r="AB29" s="57"/>
      <c r="AC29" s="57"/>
      <c r="AD29" s="52"/>
      <c r="AE29" s="57"/>
      <c r="AF29" s="57"/>
      <c r="AG29" s="57"/>
      <c r="AH29" s="52"/>
      <c r="AI29" s="52"/>
      <c r="AJ29" s="52"/>
      <c r="AK29" s="53"/>
    </row>
    <row r="30" spans="1:37" ht="15" customHeight="1">
      <c r="A30" s="56"/>
      <c r="B30" s="96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8"/>
      <c r="O30" s="119"/>
      <c r="P30" s="119"/>
      <c r="Q30" s="119"/>
      <c r="R30" s="119"/>
      <c r="S30" s="119"/>
      <c r="T30" s="119"/>
      <c r="U30" s="119"/>
      <c r="V30" s="119"/>
      <c r="W30" s="57"/>
      <c r="X30" s="57"/>
      <c r="Y30" s="57"/>
      <c r="Z30" s="57"/>
      <c r="AA30" s="57"/>
      <c r="AB30" s="57"/>
      <c r="AC30" s="57"/>
      <c r="AD30" s="52"/>
      <c r="AE30" s="57"/>
      <c r="AF30" s="57"/>
      <c r="AG30" s="57"/>
      <c r="AH30" s="52"/>
      <c r="AI30" s="52"/>
      <c r="AJ30" s="52"/>
      <c r="AK30" s="53"/>
    </row>
    <row r="31" spans="1:37" ht="15" customHeight="1">
      <c r="A31" s="56"/>
      <c r="B31" s="80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8"/>
      <c r="O31" s="119"/>
      <c r="P31" s="119"/>
      <c r="Q31" s="119"/>
      <c r="R31" s="119"/>
      <c r="S31" s="119"/>
      <c r="T31" s="119"/>
      <c r="U31" s="119"/>
      <c r="V31" s="119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2"/>
      <c r="AJ31" s="52"/>
      <c r="AK31" s="53"/>
    </row>
    <row r="32" spans="1:37" ht="15" customHeight="1">
      <c r="A32" s="56"/>
      <c r="B32" s="80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8"/>
      <c r="O32" s="119"/>
      <c r="P32" s="119"/>
      <c r="Q32" s="118"/>
      <c r="R32" s="118"/>
      <c r="S32" s="119"/>
      <c r="T32" s="119"/>
      <c r="U32" s="119"/>
      <c r="V32" s="119"/>
      <c r="W32" s="52"/>
      <c r="X32" s="52"/>
      <c r="Y32" s="57"/>
      <c r="Z32" s="57"/>
      <c r="AA32" s="57"/>
      <c r="AB32" s="57"/>
      <c r="AC32" s="57"/>
      <c r="AD32" s="52"/>
      <c r="AE32" s="57"/>
      <c r="AF32" s="57"/>
      <c r="AG32" s="57"/>
      <c r="AH32" s="52"/>
      <c r="AI32" s="52"/>
      <c r="AJ32" s="52"/>
      <c r="AK32" s="53"/>
    </row>
    <row r="33" spans="1:37" ht="15" customHeight="1">
      <c r="A33" s="103"/>
      <c r="B33" s="79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2"/>
      <c r="O33" s="119"/>
      <c r="P33" s="119"/>
      <c r="Q33" s="119"/>
      <c r="R33" s="119"/>
      <c r="S33" s="119"/>
      <c r="T33" s="119"/>
      <c r="U33" s="119"/>
      <c r="V33" s="119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2"/>
      <c r="AJ33" s="52"/>
      <c r="AK33" s="53"/>
    </row>
    <row r="34" spans="1:37" ht="15" customHeight="1">
      <c r="A34" s="56"/>
      <c r="B34" s="80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8"/>
      <c r="O34" s="119"/>
      <c r="P34" s="119"/>
      <c r="Q34" s="119"/>
      <c r="R34" s="119"/>
      <c r="S34" s="119"/>
      <c r="T34" s="119"/>
      <c r="U34" s="119"/>
      <c r="V34" s="119"/>
      <c r="W34" s="57"/>
      <c r="X34" s="57"/>
      <c r="Y34" s="57"/>
      <c r="Z34" s="52"/>
      <c r="AA34" s="57"/>
      <c r="AB34" s="57"/>
      <c r="AC34" s="52"/>
      <c r="AD34" s="52"/>
      <c r="AE34" s="57"/>
      <c r="AF34" s="57"/>
      <c r="AG34" s="52"/>
      <c r="AH34" s="52"/>
      <c r="AI34" s="52"/>
      <c r="AJ34" s="52"/>
      <c r="AK34" s="17"/>
    </row>
    <row r="35" spans="1:37" ht="15" customHeight="1">
      <c r="A35" s="56" t="s">
        <v>130</v>
      </c>
      <c r="B35" s="96" t="s">
        <v>78</v>
      </c>
      <c r="C35" s="101"/>
      <c r="D35" s="101"/>
      <c r="E35" s="93"/>
      <c r="F35" s="93"/>
      <c r="G35" s="93"/>
      <c r="H35" s="93"/>
      <c r="I35" s="93"/>
      <c r="J35" s="93"/>
      <c r="K35" s="93"/>
      <c r="L35" s="93"/>
      <c r="M35" s="93"/>
      <c r="N35" s="94"/>
      <c r="O35" s="119"/>
      <c r="P35" s="119"/>
      <c r="Q35" s="119"/>
      <c r="R35" s="119"/>
      <c r="S35" s="119"/>
      <c r="T35" s="119"/>
      <c r="U35" s="119"/>
      <c r="V35" s="119"/>
      <c r="W35" s="57"/>
      <c r="X35" s="57"/>
      <c r="Y35" s="57"/>
      <c r="Z35" s="52"/>
      <c r="AA35" s="57"/>
      <c r="AB35" s="57"/>
      <c r="AC35" s="52"/>
      <c r="AD35" s="52"/>
      <c r="AE35" s="57"/>
      <c r="AF35" s="57"/>
      <c r="AG35" s="52"/>
      <c r="AH35" s="52"/>
      <c r="AI35" s="52"/>
      <c r="AJ35" s="52"/>
      <c r="AK35" s="17"/>
    </row>
    <row r="36" spans="1:37" ht="28.5" customHeight="1">
      <c r="A36" s="152" t="s">
        <v>132</v>
      </c>
      <c r="B36" s="80"/>
      <c r="C36" s="181" t="s">
        <v>115</v>
      </c>
      <c r="D36" s="182"/>
      <c r="E36" s="182"/>
      <c r="F36" s="182"/>
      <c r="G36" s="182"/>
      <c r="H36" s="182"/>
      <c r="I36" s="182"/>
      <c r="J36" s="182"/>
      <c r="K36" s="182"/>
      <c r="L36" s="182"/>
      <c r="M36" s="182"/>
      <c r="N36" s="183"/>
      <c r="O36" s="119"/>
      <c r="P36" s="119" t="s">
        <v>83</v>
      </c>
      <c r="Q36" s="119"/>
      <c r="R36" s="119" t="s">
        <v>83</v>
      </c>
      <c r="S36" s="119"/>
      <c r="T36" s="119" t="s">
        <v>83</v>
      </c>
      <c r="U36" s="119"/>
      <c r="V36" s="119" t="s">
        <v>83</v>
      </c>
      <c r="W36" s="57"/>
      <c r="X36" s="57"/>
      <c r="Y36" s="57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17"/>
    </row>
    <row r="37" spans="1:37" ht="15" customHeight="1">
      <c r="A37" s="56" t="s">
        <v>133</v>
      </c>
      <c r="B37" s="92" t="s">
        <v>77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4"/>
      <c r="O37" s="119" t="s">
        <v>83</v>
      </c>
      <c r="P37" s="119"/>
      <c r="Q37" s="119" t="s">
        <v>83</v>
      </c>
      <c r="R37" s="119"/>
      <c r="S37" s="119" t="s">
        <v>83</v>
      </c>
      <c r="T37" s="119"/>
      <c r="U37" s="119" t="s">
        <v>83</v>
      </c>
      <c r="V37" s="119"/>
      <c r="W37" s="125" t="s">
        <v>83</v>
      </c>
      <c r="X37" s="125" t="s">
        <v>83</v>
      </c>
      <c r="Y37" s="57"/>
      <c r="Z37" s="57"/>
      <c r="AA37" s="57"/>
      <c r="AB37" s="57"/>
      <c r="AC37" s="52"/>
      <c r="AD37" s="52"/>
      <c r="AE37" s="57"/>
      <c r="AF37" s="57"/>
      <c r="AG37" s="52"/>
      <c r="AH37" s="52"/>
      <c r="AI37" s="52"/>
      <c r="AJ37" s="52"/>
      <c r="AK37" s="17"/>
    </row>
    <row r="38" spans="1:37" ht="15" customHeight="1">
      <c r="A38" s="104"/>
      <c r="B38" s="96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8"/>
      <c r="O38" s="119"/>
      <c r="P38" s="119"/>
      <c r="Q38" s="119"/>
      <c r="R38" s="119"/>
      <c r="S38" s="119"/>
      <c r="T38" s="119"/>
      <c r="U38" s="119"/>
      <c r="V38" s="119"/>
      <c r="W38" s="57"/>
      <c r="X38" s="57"/>
      <c r="Y38" s="57"/>
      <c r="Z38" s="57"/>
      <c r="AA38" s="57"/>
      <c r="AB38" s="57"/>
      <c r="AC38" s="57"/>
      <c r="AD38" s="52"/>
      <c r="AE38" s="52"/>
      <c r="AF38" s="52"/>
      <c r="AG38" s="52"/>
      <c r="AH38" s="52"/>
      <c r="AI38" s="52"/>
      <c r="AJ38" s="52"/>
      <c r="AK38" s="17"/>
    </row>
    <row r="39" spans="1:37" ht="15" customHeight="1">
      <c r="A39" s="56"/>
      <c r="B39" s="80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8"/>
      <c r="O39" s="119"/>
      <c r="P39" s="119"/>
      <c r="Q39" s="119"/>
      <c r="R39" s="119"/>
      <c r="S39" s="119"/>
      <c r="T39" s="119"/>
      <c r="U39" s="119"/>
      <c r="V39" s="119"/>
      <c r="W39" s="57"/>
      <c r="X39" s="57"/>
      <c r="Y39" s="57"/>
      <c r="Z39" s="57"/>
      <c r="AA39" s="57"/>
      <c r="AB39" s="57"/>
      <c r="AC39" s="57"/>
      <c r="AD39" s="52"/>
      <c r="AE39" s="52"/>
      <c r="AF39" s="52"/>
      <c r="AG39" s="52"/>
      <c r="AH39" s="52"/>
      <c r="AI39" s="52"/>
      <c r="AJ39" s="52"/>
      <c r="AK39" s="17"/>
    </row>
    <row r="40" spans="1:37" ht="15" customHeight="1">
      <c r="A40" s="56"/>
      <c r="B40" s="80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8"/>
      <c r="O40" s="119"/>
      <c r="P40" s="119"/>
      <c r="Q40" s="119"/>
      <c r="R40" s="119"/>
      <c r="S40" s="119"/>
      <c r="T40" s="119"/>
      <c r="U40" s="119"/>
      <c r="V40" s="119"/>
      <c r="W40" s="57"/>
      <c r="X40" s="57"/>
      <c r="Y40" s="57"/>
      <c r="Z40" s="57"/>
      <c r="AA40" s="57"/>
      <c r="AB40" s="57"/>
      <c r="AC40" s="57"/>
      <c r="AD40" s="52"/>
      <c r="AE40" s="52"/>
      <c r="AF40" s="52"/>
      <c r="AG40" s="52"/>
      <c r="AH40" s="52"/>
      <c r="AI40" s="52"/>
      <c r="AJ40" s="52"/>
      <c r="AK40" s="17"/>
    </row>
    <row r="41" spans="1:37" ht="15" customHeight="1">
      <c r="A41" s="56"/>
      <c r="B41" s="80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8"/>
      <c r="O41" s="119"/>
      <c r="P41" s="119"/>
      <c r="Q41" s="118"/>
      <c r="R41" s="119"/>
      <c r="S41" s="119"/>
      <c r="T41" s="119"/>
      <c r="U41" s="118"/>
      <c r="V41" s="119"/>
      <c r="W41" s="52"/>
      <c r="X41" s="52"/>
      <c r="Y41" s="52"/>
      <c r="Z41" s="57"/>
      <c r="AA41" s="57"/>
      <c r="AB41" s="57"/>
      <c r="AC41" s="52"/>
      <c r="AD41" s="52"/>
      <c r="AE41" s="57"/>
      <c r="AF41" s="57"/>
      <c r="AG41" s="52"/>
      <c r="AH41" s="52"/>
      <c r="AI41" s="52"/>
      <c r="AJ41" s="52"/>
      <c r="AK41" s="53"/>
    </row>
    <row r="42" spans="1:37" ht="15" customHeight="1">
      <c r="A42" s="56"/>
      <c r="B42" s="80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8"/>
      <c r="O42" s="119"/>
      <c r="P42" s="119"/>
      <c r="Q42" s="119"/>
      <c r="R42" s="119"/>
      <c r="S42" s="119"/>
      <c r="T42" s="119"/>
      <c r="U42" s="119"/>
      <c r="V42" s="119"/>
      <c r="W42" s="57"/>
      <c r="X42" s="57"/>
      <c r="Y42" s="57"/>
      <c r="Z42" s="52"/>
      <c r="AA42" s="57"/>
      <c r="AB42" s="57"/>
      <c r="AC42" s="52"/>
      <c r="AD42" s="52"/>
      <c r="AE42" s="57"/>
      <c r="AF42" s="57"/>
      <c r="AG42" s="52"/>
      <c r="AH42" s="52"/>
      <c r="AI42" s="52"/>
      <c r="AJ42" s="52"/>
      <c r="AK42" s="17"/>
    </row>
    <row r="43" spans="1:37" ht="15" customHeight="1">
      <c r="A43" s="56"/>
      <c r="B43" s="80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8"/>
      <c r="O43" s="119"/>
      <c r="P43" s="119"/>
      <c r="Q43" s="119"/>
      <c r="R43" s="119"/>
      <c r="S43" s="119"/>
      <c r="T43" s="119"/>
      <c r="U43" s="119"/>
      <c r="V43" s="119"/>
      <c r="W43" s="125"/>
      <c r="X43" s="125"/>
      <c r="Y43" s="57"/>
      <c r="Z43" s="57"/>
      <c r="AA43" s="57"/>
      <c r="AB43" s="57"/>
      <c r="AC43" s="52"/>
      <c r="AD43" s="52"/>
      <c r="AE43" s="57"/>
      <c r="AF43" s="57"/>
      <c r="AG43" s="52"/>
      <c r="AH43" s="52"/>
      <c r="AI43" s="52"/>
      <c r="AJ43" s="52"/>
      <c r="AK43" s="17"/>
    </row>
    <row r="44" spans="1:37" ht="15" customHeight="1">
      <c r="A44" s="114"/>
      <c r="B44" s="80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8"/>
      <c r="O44" s="119"/>
      <c r="P44" s="119"/>
      <c r="Q44" s="119"/>
      <c r="R44" s="119"/>
      <c r="S44" s="119"/>
      <c r="T44" s="119"/>
      <c r="U44" s="119"/>
      <c r="V44" s="119"/>
      <c r="W44" s="57"/>
      <c r="X44" s="57"/>
      <c r="Y44" s="57"/>
      <c r="Z44" s="52"/>
      <c r="AA44" s="57"/>
      <c r="AB44" s="57"/>
      <c r="AC44" s="52"/>
      <c r="AD44" s="52"/>
      <c r="AE44" s="57"/>
      <c r="AF44" s="57"/>
      <c r="AG44" s="52"/>
      <c r="AH44" s="52"/>
      <c r="AI44" s="52"/>
      <c r="AJ44" s="52"/>
      <c r="AK44" s="17"/>
    </row>
    <row r="45" spans="1:37" ht="15" customHeight="1">
      <c r="A45" s="56"/>
      <c r="B45" s="80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8"/>
      <c r="O45" s="119"/>
      <c r="P45" s="119"/>
      <c r="Q45" s="119"/>
      <c r="R45" s="119"/>
      <c r="S45" s="119"/>
      <c r="T45" s="119"/>
      <c r="U45" s="119"/>
      <c r="V45" s="119"/>
      <c r="W45" s="57"/>
      <c r="X45" s="57"/>
      <c r="Y45" s="57"/>
      <c r="Z45" s="57"/>
      <c r="AA45" s="57"/>
      <c r="AB45" s="57"/>
      <c r="AC45" s="57"/>
      <c r="AD45" s="52"/>
      <c r="AE45" s="52"/>
      <c r="AF45" s="52"/>
      <c r="AG45" s="52"/>
      <c r="AH45" s="52"/>
      <c r="AI45" s="52"/>
      <c r="AJ45" s="52"/>
      <c r="AK45" s="17"/>
    </row>
    <row r="46" spans="1:37" ht="15" customHeight="1">
      <c r="A46" s="104"/>
      <c r="B46" s="59"/>
      <c r="N46" s="20"/>
      <c r="O46" s="119"/>
      <c r="P46" s="119"/>
      <c r="Q46" s="119"/>
      <c r="R46" s="119"/>
      <c r="S46" s="119"/>
      <c r="T46" s="119"/>
      <c r="U46" s="119"/>
      <c r="V46" s="119"/>
      <c r="W46" s="57"/>
      <c r="X46" s="57"/>
      <c r="Y46" s="57"/>
      <c r="Z46" s="52"/>
      <c r="AA46" s="57"/>
      <c r="AB46" s="57"/>
      <c r="AC46" s="52"/>
      <c r="AD46" s="52"/>
      <c r="AE46" s="57"/>
      <c r="AF46" s="57"/>
      <c r="AG46" s="52"/>
      <c r="AH46" s="52"/>
      <c r="AI46" s="52"/>
      <c r="AJ46" s="52"/>
      <c r="AK46" s="17"/>
    </row>
    <row r="47" spans="1:37" ht="15" customHeight="1">
      <c r="A47" s="56"/>
      <c r="B47" s="80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8"/>
      <c r="O47" s="119"/>
      <c r="P47" s="119"/>
      <c r="Q47" s="119"/>
      <c r="R47" s="119"/>
      <c r="S47" s="119"/>
      <c r="T47" s="119"/>
      <c r="U47" s="119"/>
      <c r="V47" s="119"/>
      <c r="W47" s="57"/>
      <c r="X47" s="57"/>
      <c r="Y47" s="57"/>
      <c r="Z47" s="57"/>
      <c r="AA47" s="57"/>
      <c r="AB47" s="57"/>
      <c r="AC47" s="52"/>
      <c r="AD47" s="57"/>
      <c r="AE47" s="52"/>
      <c r="AF47" s="52"/>
      <c r="AG47" s="52"/>
      <c r="AH47" s="52"/>
      <c r="AI47" s="52"/>
      <c r="AJ47" s="52"/>
      <c r="AK47" s="17"/>
    </row>
    <row r="48" spans="1:37" ht="15" customHeight="1">
      <c r="A48" s="56"/>
      <c r="B48" s="80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8"/>
      <c r="O48" s="119"/>
      <c r="P48" s="119"/>
      <c r="Q48" s="119"/>
      <c r="R48" s="119"/>
      <c r="S48" s="119"/>
      <c r="T48" s="119"/>
      <c r="U48" s="119"/>
      <c r="V48" s="119"/>
      <c r="W48" s="57"/>
      <c r="X48" s="57"/>
      <c r="Y48" s="57"/>
      <c r="Z48" s="57"/>
      <c r="AA48" s="57"/>
      <c r="AB48" s="57"/>
      <c r="AC48" s="57"/>
      <c r="AD48" s="52"/>
      <c r="AE48" s="52"/>
      <c r="AF48" s="52"/>
      <c r="AG48" s="52"/>
      <c r="AH48" s="52"/>
      <c r="AI48" s="52"/>
      <c r="AJ48" s="52"/>
      <c r="AK48" s="17"/>
    </row>
    <row r="49" spans="1:37" ht="15" customHeight="1">
      <c r="A49" s="56"/>
      <c r="B49" s="80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8"/>
      <c r="O49" s="119"/>
      <c r="P49" s="119"/>
      <c r="Q49" s="119"/>
      <c r="R49" s="119"/>
      <c r="S49" s="119"/>
      <c r="T49" s="119"/>
      <c r="U49" s="119"/>
      <c r="V49" s="119"/>
      <c r="W49" s="57"/>
      <c r="X49" s="57"/>
      <c r="Y49" s="57"/>
      <c r="Z49" s="57"/>
      <c r="AA49" s="57"/>
      <c r="AB49" s="57"/>
      <c r="AC49" s="57"/>
      <c r="AD49" s="52"/>
      <c r="AE49" s="52"/>
      <c r="AF49" s="52"/>
      <c r="AG49" s="52"/>
      <c r="AH49" s="52"/>
      <c r="AI49" s="52"/>
      <c r="AJ49" s="52"/>
      <c r="AK49" s="17"/>
    </row>
    <row r="50" spans="1:37" ht="15" customHeight="1">
      <c r="A50" s="56"/>
      <c r="B50" s="80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8"/>
      <c r="O50" s="119"/>
      <c r="P50" s="119"/>
      <c r="Q50" s="119"/>
      <c r="R50" s="119"/>
      <c r="S50" s="119"/>
      <c r="T50" s="119"/>
      <c r="U50" s="119"/>
      <c r="V50" s="119"/>
      <c r="W50" s="57"/>
      <c r="X50" s="57"/>
      <c r="Y50" s="57"/>
      <c r="Z50" s="57"/>
      <c r="AA50" s="57"/>
      <c r="AB50" s="57"/>
      <c r="AC50" s="57"/>
      <c r="AD50" s="52"/>
      <c r="AE50" s="52"/>
      <c r="AF50" s="52"/>
      <c r="AG50" s="52"/>
      <c r="AH50" s="52"/>
      <c r="AI50" s="52"/>
      <c r="AJ50" s="52"/>
      <c r="AK50" s="17"/>
    </row>
    <row r="51" spans="1:37" ht="15" customHeight="1">
      <c r="A51" s="56"/>
      <c r="B51" s="79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2"/>
      <c r="O51" s="119"/>
      <c r="P51" s="119"/>
      <c r="Q51" s="119"/>
      <c r="R51" s="119"/>
      <c r="S51" s="119"/>
      <c r="T51" s="119"/>
      <c r="U51" s="119"/>
      <c r="V51" s="119"/>
      <c r="W51" s="57"/>
      <c r="X51" s="57"/>
      <c r="Y51" s="57"/>
      <c r="Z51" s="57"/>
      <c r="AA51" s="57"/>
      <c r="AB51" s="57"/>
      <c r="AC51" s="57"/>
      <c r="AD51" s="52"/>
      <c r="AE51" s="52"/>
      <c r="AF51" s="52"/>
      <c r="AG51" s="52"/>
      <c r="AH51" s="52"/>
      <c r="AI51" s="52"/>
      <c r="AJ51" s="52"/>
      <c r="AK51" s="17"/>
    </row>
    <row r="52" spans="1:37" ht="15" customHeight="1">
      <c r="A52" s="10"/>
      <c r="C52" s="19"/>
      <c r="D52" s="184" t="s">
        <v>48</v>
      </c>
      <c r="E52" s="185"/>
      <c r="F52" s="185"/>
      <c r="G52" s="185"/>
      <c r="H52" s="185"/>
      <c r="I52" s="186"/>
      <c r="J52" s="59"/>
      <c r="N52" s="20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2"/>
    </row>
    <row r="53" spans="1:37" ht="15" customHeight="1">
      <c r="A53" s="60"/>
      <c r="B53" s="61"/>
      <c r="C53" s="62"/>
      <c r="D53" s="184"/>
      <c r="E53" s="185"/>
      <c r="F53" s="185"/>
      <c r="G53" s="185"/>
      <c r="H53" s="185"/>
      <c r="I53" s="186"/>
      <c r="J53" s="13"/>
      <c r="K53" s="14"/>
      <c r="L53" s="14"/>
      <c r="M53" s="14"/>
      <c r="N53" s="15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7"/>
    </row>
    <row r="54" spans="1:37" ht="15" customHeight="1">
      <c r="A54" s="18"/>
      <c r="C54" s="19"/>
      <c r="D54" s="184"/>
      <c r="E54" s="185"/>
      <c r="F54" s="185"/>
      <c r="G54" s="185"/>
      <c r="H54" s="185"/>
      <c r="I54" s="186"/>
      <c r="M54" s="19"/>
      <c r="N54" s="20"/>
      <c r="O54" s="68" t="str">
        <f t="shared" ref="O54:AK54" si="0">IF(O55&lt;&gt;"",MONTH(O55),"")</f>
        <v/>
      </c>
      <c r="P54" s="68" t="str">
        <f t="shared" si="0"/>
        <v/>
      </c>
      <c r="Q54" s="68" t="str">
        <f t="shared" si="0"/>
        <v/>
      </c>
      <c r="R54" s="68" t="str">
        <f t="shared" si="0"/>
        <v/>
      </c>
      <c r="S54" s="68" t="str">
        <f t="shared" si="0"/>
        <v/>
      </c>
      <c r="T54" s="68" t="str">
        <f t="shared" si="0"/>
        <v/>
      </c>
      <c r="U54" s="68" t="str">
        <f t="shared" si="0"/>
        <v/>
      </c>
      <c r="V54" s="68" t="str">
        <f t="shared" si="0"/>
        <v/>
      </c>
      <c r="W54" s="68" t="str">
        <f t="shared" si="0"/>
        <v/>
      </c>
      <c r="X54" s="68" t="str">
        <f t="shared" si="0"/>
        <v/>
      </c>
      <c r="Y54" s="68" t="str">
        <f t="shared" si="0"/>
        <v/>
      </c>
      <c r="Z54" s="68" t="str">
        <f t="shared" si="0"/>
        <v/>
      </c>
      <c r="AA54" s="68" t="str">
        <f t="shared" si="0"/>
        <v/>
      </c>
      <c r="AB54" s="68" t="str">
        <f t="shared" si="0"/>
        <v/>
      </c>
      <c r="AC54" s="68" t="str">
        <f t="shared" si="0"/>
        <v/>
      </c>
      <c r="AD54" s="68" t="str">
        <f t="shared" si="0"/>
        <v/>
      </c>
      <c r="AE54" s="68" t="str">
        <f t="shared" si="0"/>
        <v/>
      </c>
      <c r="AF54" s="68" t="str">
        <f t="shared" si="0"/>
        <v/>
      </c>
      <c r="AG54" s="68" t="str">
        <f t="shared" si="0"/>
        <v/>
      </c>
      <c r="AH54" s="68" t="str">
        <f t="shared" si="0"/>
        <v/>
      </c>
      <c r="AI54" s="68" t="str">
        <f t="shared" si="0"/>
        <v/>
      </c>
      <c r="AJ54" s="68" t="str">
        <f t="shared" si="0"/>
        <v/>
      </c>
      <c r="AK54" s="69" t="str">
        <f t="shared" si="0"/>
        <v/>
      </c>
    </row>
    <row r="55" spans="1:37" ht="15" customHeight="1">
      <c r="A55" s="21"/>
      <c r="B55" s="14"/>
      <c r="C55" s="22"/>
      <c r="D55" s="187"/>
      <c r="E55" s="188"/>
      <c r="F55" s="188"/>
      <c r="G55" s="188"/>
      <c r="H55" s="188"/>
      <c r="I55" s="189"/>
      <c r="M55" s="19"/>
      <c r="N55" s="15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1"/>
    </row>
    <row r="56" spans="1:37" ht="15" customHeight="1">
      <c r="A56" s="167" t="s">
        <v>43</v>
      </c>
      <c r="B56" s="168"/>
      <c r="C56" s="169"/>
      <c r="D56" s="177"/>
      <c r="E56" s="175"/>
      <c r="F56" s="175"/>
      <c r="G56" s="175"/>
      <c r="H56" s="175"/>
      <c r="I56" s="176"/>
      <c r="M56" s="19"/>
      <c r="N56" s="20"/>
      <c r="O56" s="68" t="str">
        <f t="shared" ref="O56:AK56" si="1">IF(O57&lt;&gt;"",MONTH(O57),"")</f>
        <v/>
      </c>
      <c r="P56" s="68" t="str">
        <f t="shared" si="1"/>
        <v/>
      </c>
      <c r="Q56" s="68" t="str">
        <f t="shared" si="1"/>
        <v/>
      </c>
      <c r="R56" s="68" t="str">
        <f t="shared" si="1"/>
        <v/>
      </c>
      <c r="S56" s="68" t="str">
        <f t="shared" si="1"/>
        <v/>
      </c>
      <c r="T56" s="68" t="str">
        <f t="shared" si="1"/>
        <v/>
      </c>
      <c r="U56" s="68" t="str">
        <f t="shared" si="1"/>
        <v/>
      </c>
      <c r="V56" s="68" t="str">
        <f t="shared" si="1"/>
        <v/>
      </c>
      <c r="W56" s="68" t="str">
        <f t="shared" si="1"/>
        <v/>
      </c>
      <c r="X56" s="68" t="str">
        <f t="shared" si="1"/>
        <v/>
      </c>
      <c r="Y56" s="68" t="str">
        <f t="shared" si="1"/>
        <v/>
      </c>
      <c r="Z56" s="68" t="str">
        <f t="shared" si="1"/>
        <v/>
      </c>
      <c r="AA56" s="68" t="str">
        <f t="shared" si="1"/>
        <v/>
      </c>
      <c r="AB56" s="68" t="str">
        <f t="shared" si="1"/>
        <v/>
      </c>
      <c r="AC56" s="68" t="str">
        <f t="shared" si="1"/>
        <v/>
      </c>
      <c r="AD56" s="68" t="str">
        <f t="shared" si="1"/>
        <v/>
      </c>
      <c r="AE56" s="68" t="str">
        <f t="shared" si="1"/>
        <v/>
      </c>
      <c r="AF56" s="68" t="str">
        <f t="shared" si="1"/>
        <v/>
      </c>
      <c r="AG56" s="68" t="str">
        <f t="shared" si="1"/>
        <v/>
      </c>
      <c r="AH56" s="68" t="str">
        <f t="shared" si="1"/>
        <v/>
      </c>
      <c r="AI56" s="68" t="str">
        <f t="shared" si="1"/>
        <v/>
      </c>
      <c r="AJ56" s="68" t="str">
        <f t="shared" si="1"/>
        <v/>
      </c>
      <c r="AK56" s="69" t="str">
        <f t="shared" si="1"/>
        <v/>
      </c>
    </row>
    <row r="57" spans="1:37" ht="15" customHeight="1">
      <c r="A57" s="167" t="s">
        <v>44</v>
      </c>
      <c r="B57" s="168"/>
      <c r="C57" s="169"/>
      <c r="D57" s="190"/>
      <c r="E57" s="191"/>
      <c r="F57" s="191"/>
      <c r="G57" s="191"/>
      <c r="H57" s="191"/>
      <c r="I57" s="192"/>
      <c r="J57" s="14"/>
      <c r="K57" s="14"/>
      <c r="L57" s="14"/>
      <c r="M57" s="22"/>
      <c r="N57" s="15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3"/>
    </row>
    <row r="58" spans="1:37" ht="15" customHeight="1">
      <c r="A58" s="167" t="s">
        <v>16</v>
      </c>
      <c r="B58" s="168"/>
      <c r="C58" s="169"/>
      <c r="D58" s="170"/>
      <c r="E58" s="171"/>
      <c r="F58" s="171"/>
      <c r="G58" s="171"/>
      <c r="H58" s="171"/>
      <c r="I58" s="172"/>
      <c r="J58" s="14"/>
      <c r="K58" s="14"/>
      <c r="L58" s="14"/>
      <c r="M58" s="23" t="s">
        <v>17</v>
      </c>
      <c r="N58" s="15"/>
      <c r="O58" s="16" t="s">
        <v>45</v>
      </c>
      <c r="P58" s="16" t="s">
        <v>45</v>
      </c>
      <c r="Q58" s="16" t="s">
        <v>45</v>
      </c>
      <c r="R58" s="16" t="s">
        <v>45</v>
      </c>
      <c r="S58" s="16" t="s">
        <v>45</v>
      </c>
      <c r="T58" s="16" t="s">
        <v>45</v>
      </c>
      <c r="U58" s="16" t="s">
        <v>45</v>
      </c>
      <c r="V58" s="16" t="s">
        <v>45</v>
      </c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7"/>
    </row>
    <row r="59" spans="1:37" ht="15" customHeight="1">
      <c r="A59" s="167" t="s">
        <v>18</v>
      </c>
      <c r="B59" s="168"/>
      <c r="C59" s="169"/>
      <c r="D59" s="173"/>
      <c r="E59" s="168"/>
      <c r="F59" s="168"/>
      <c r="G59" s="168"/>
      <c r="H59" s="168"/>
      <c r="I59" s="169"/>
      <c r="J59" s="14"/>
      <c r="K59" s="14"/>
      <c r="L59" s="14"/>
      <c r="M59" s="23" t="s">
        <v>19</v>
      </c>
      <c r="N59" s="15"/>
      <c r="O59" s="16" t="s">
        <v>46</v>
      </c>
      <c r="P59" s="16" t="s">
        <v>46</v>
      </c>
      <c r="Q59" s="16" t="s">
        <v>46</v>
      </c>
      <c r="R59" s="16" t="s">
        <v>46</v>
      </c>
      <c r="S59" s="16" t="s">
        <v>46</v>
      </c>
      <c r="T59" s="16" t="s">
        <v>46</v>
      </c>
      <c r="U59" s="16" t="s">
        <v>46</v>
      </c>
      <c r="V59" s="16" t="s">
        <v>46</v>
      </c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7"/>
    </row>
    <row r="60" spans="1:37" ht="15" customHeight="1">
      <c r="A60" s="174" t="s">
        <v>20</v>
      </c>
      <c r="B60" s="175"/>
      <c r="C60" s="176"/>
      <c r="D60" s="177" t="s">
        <v>21</v>
      </c>
      <c r="E60" s="175"/>
      <c r="F60" s="175"/>
      <c r="G60" s="175"/>
      <c r="H60" s="175"/>
      <c r="I60" s="176"/>
      <c r="N60" s="20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2"/>
    </row>
    <row r="61" spans="1:37" ht="15" customHeight="1">
      <c r="A61" s="18"/>
      <c r="C61" s="19"/>
      <c r="E61" s="88" t="s">
        <v>22</v>
      </c>
      <c r="H61" s="88" t="s">
        <v>23</v>
      </c>
      <c r="I61" s="19"/>
      <c r="M61" s="88" t="s">
        <v>24</v>
      </c>
      <c r="N61" s="20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2"/>
    </row>
    <row r="62" spans="1:37" ht="15" customHeight="1">
      <c r="A62" s="18"/>
      <c r="C62" s="19"/>
      <c r="I62" s="19"/>
      <c r="J62" s="14"/>
      <c r="K62" s="14"/>
      <c r="L62" s="14"/>
      <c r="M62" s="14"/>
      <c r="N62" s="15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7"/>
    </row>
    <row r="63" spans="1:37" ht="15" customHeight="1">
      <c r="A63" s="161" t="s">
        <v>47</v>
      </c>
      <c r="B63" s="162"/>
      <c r="C63" s="163"/>
      <c r="I63" s="19"/>
      <c r="N63" s="20"/>
      <c r="O63" s="5" t="s">
        <v>40</v>
      </c>
      <c r="P63" s="25"/>
      <c r="Q63" s="25"/>
      <c r="R63" s="25"/>
      <c r="S63" s="25"/>
      <c r="T63" s="25"/>
      <c r="V63" s="19"/>
      <c r="AA63" s="19"/>
      <c r="AF63" s="39" t="s">
        <v>2</v>
      </c>
      <c r="AG63" s="36">
        <f>COUNTIF(O58:AK58,"A")</f>
        <v>8</v>
      </c>
      <c r="AH63" s="40" t="s">
        <v>3</v>
      </c>
      <c r="AI63" s="36">
        <f>COUNTIF(O58:AK58,"B")</f>
        <v>0</v>
      </c>
      <c r="AJ63" s="40" t="s">
        <v>4</v>
      </c>
      <c r="AK63" s="34">
        <f>COUNTIF(O58:AK58,"C")</f>
        <v>0</v>
      </c>
    </row>
    <row r="64" spans="1:37" ht="15" customHeight="1">
      <c r="A64" s="18"/>
      <c r="C64" s="19"/>
      <c r="I64" s="19"/>
      <c r="K64" s="1"/>
      <c r="L64" s="1"/>
      <c r="M64" s="1"/>
      <c r="N64" s="54"/>
      <c r="O64" s="5" t="s">
        <v>41</v>
      </c>
      <c r="Q64" s="26"/>
      <c r="V64" s="19"/>
      <c r="Y64" s="88" t="s">
        <v>25</v>
      </c>
      <c r="AA64" s="19"/>
      <c r="AB64" s="45"/>
      <c r="AC64" s="44">
        <v>1</v>
      </c>
      <c r="AD64" s="33"/>
      <c r="AE64" s="44">
        <v>1</v>
      </c>
      <c r="AF64" s="41" t="s">
        <v>5</v>
      </c>
      <c r="AG64" s="37">
        <f>COUNTIF(M59:AI59,"N")</f>
        <v>8</v>
      </c>
      <c r="AH64" s="42" t="s">
        <v>2</v>
      </c>
      <c r="AI64" s="37">
        <f>COUNTIF(O59:AK59,"A")</f>
        <v>0</v>
      </c>
      <c r="AJ64" s="42" t="s">
        <v>3</v>
      </c>
      <c r="AK64" s="35">
        <f>COUNTIF(O59:AK59,"B")</f>
        <v>0</v>
      </c>
    </row>
    <row r="65" spans="1:37" ht="15" customHeight="1" thickBot="1">
      <c r="A65" s="85"/>
      <c r="B65" s="89"/>
      <c r="C65" s="90"/>
      <c r="D65" s="164"/>
      <c r="E65" s="165"/>
      <c r="F65" s="165"/>
      <c r="G65" s="165"/>
      <c r="H65" s="165"/>
      <c r="I65" s="166"/>
      <c r="J65" s="28"/>
      <c r="K65" s="63"/>
      <c r="L65" s="63"/>
      <c r="M65" s="63"/>
      <c r="N65" s="29"/>
      <c r="O65" s="28"/>
      <c r="P65" s="28"/>
      <c r="Q65" s="28"/>
      <c r="R65" s="28"/>
      <c r="S65" s="28"/>
      <c r="T65" s="28"/>
      <c r="U65" s="28"/>
      <c r="V65" s="27"/>
      <c r="W65" s="28"/>
      <c r="X65" s="28"/>
      <c r="Y65" s="28"/>
      <c r="Z65" s="28"/>
      <c r="AA65" s="27"/>
      <c r="AB65" s="28"/>
      <c r="AC65" s="28"/>
      <c r="AD65" s="28"/>
      <c r="AE65" s="28"/>
      <c r="AF65" s="32" t="s">
        <v>6</v>
      </c>
      <c r="AG65" s="28"/>
      <c r="AH65" s="38"/>
      <c r="AI65" s="43">
        <f>SUM(AF63:AK63)</f>
        <v>8</v>
      </c>
      <c r="AJ65" s="28"/>
      <c r="AK65" s="30"/>
    </row>
  </sheetData>
  <mergeCells count="19">
    <mergeCell ref="D52:I55"/>
    <mergeCell ref="C21:N21"/>
    <mergeCell ref="C22:N22"/>
    <mergeCell ref="C25:N25"/>
    <mergeCell ref="C26:N26"/>
    <mergeCell ref="C36:N36"/>
    <mergeCell ref="D65:F65"/>
    <mergeCell ref="G65:I65"/>
    <mergeCell ref="A56:C56"/>
    <mergeCell ref="D56:I56"/>
    <mergeCell ref="A57:C57"/>
    <mergeCell ref="D57:I57"/>
    <mergeCell ref="A58:C58"/>
    <mergeCell ref="D58:I58"/>
    <mergeCell ref="A59:C59"/>
    <mergeCell ref="D59:I59"/>
    <mergeCell ref="A60:C60"/>
    <mergeCell ref="D60:I60"/>
    <mergeCell ref="A63:C63"/>
  </mergeCells>
  <phoneticPr fontId="16"/>
  <printOptions verticalCentered="1" gridLinesSet="0"/>
  <pageMargins left="0.59055118110236227" right="0.31496062992125984" top="0.39370078740157483" bottom="0.39370078740157483" header="0.51181102362204722" footer="0.39370078740157483"/>
  <pageSetup paperSize="9" scale="74" orientation="portrait" horizontalDpi="4294967292" verticalDpi="4294967292" r:id="rId1"/>
  <headerFooter alignWithMargins="0">
    <oddFooter>&amp;R&amp;"ＭＳ 明朝,斜体"&amp;8All Rights Reserved,Copy Right 2002,Hitachi Software Engineering Co.,Ltd.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6593" r:id="rId4" name="Button 1">
              <controlPr defaultSize="0" print="0" autoFill="0" autoLine="0" autoPict="0" macro="[0]!リスト5_Change">
                <anchor moveWithCells="1" sizeWithCells="1">
                  <from>
                    <xdr:col>0</xdr:col>
                    <xdr:colOff>76200</xdr:colOff>
                    <xdr:row>65</xdr:row>
                    <xdr:rowOff>114300</xdr:rowOff>
                  </from>
                  <to>
                    <xdr:col>5</xdr:col>
                    <xdr:colOff>142875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4" r:id="rId5" name="Button 2">
              <controlPr defaultSize="0" print="0" autoFill="0" autoLine="0" autoPict="0" macro="[0]!DrawCheck.DrawCheck">
                <anchor moveWithCells="1" sizeWithCells="1">
                  <from>
                    <xdr:col>11</xdr:col>
                    <xdr:colOff>180975</xdr:colOff>
                    <xdr:row>1</xdr:row>
                    <xdr:rowOff>762000</xdr:rowOff>
                  </from>
                  <to>
                    <xdr:col>13</xdr:col>
                    <xdr:colOff>476250</xdr:colOff>
                    <xdr:row>1</xdr:row>
                    <xdr:rowOff>1066800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5" r:id="rId6" name="Button 3">
              <controlPr defaultSize="0" print="0" autoFill="0" autoLine="0" autoPict="0" macro="[0]!Cancel_Click">
                <anchor moveWithCells="1" sizeWithCells="1">
                  <from>
                    <xdr:col>11</xdr:col>
                    <xdr:colOff>180975</xdr:colOff>
                    <xdr:row>1</xdr:row>
                    <xdr:rowOff>419100</xdr:rowOff>
                  </from>
                  <to>
                    <xdr:col>13</xdr:col>
                    <xdr:colOff>476250</xdr:colOff>
                    <xdr:row>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6" r:id="rId7" name="Button 4">
              <controlPr defaultSize="0" print="0" autoFill="0" autoLine="0" autoPict="0" macro="[0]!ボタン41_Click">
                <anchor moveWithCells="1" sizeWithCells="1">
                  <from>
                    <xdr:col>1</xdr:col>
                    <xdr:colOff>0</xdr:colOff>
                    <xdr:row>1</xdr:row>
                    <xdr:rowOff>1000125</xdr:rowOff>
                  </from>
                  <to>
                    <xdr:col>4</xdr:col>
                    <xdr:colOff>133350</xdr:colOff>
                    <xdr:row>1</xdr:row>
                    <xdr:rowOff>1352550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7" r:id="rId8" name="Button 5">
              <controlPr defaultSize="0" print="0" autoFill="0" autoLine="0" autoPict="0" macro="[0]!ENTER_A">
                <anchor moveWithCells="1" sizeWithCells="1">
                  <from>
                    <xdr:col>10</xdr:col>
                    <xdr:colOff>209550</xdr:colOff>
                    <xdr:row>1</xdr:row>
                    <xdr:rowOff>1257300</xdr:rowOff>
                  </from>
                  <to>
                    <xdr:col>12</xdr:col>
                    <xdr:colOff>38100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8" r:id="rId9" name="Button 6">
              <controlPr defaultSize="0" print="0" autoFill="0" autoLine="0" autoPict="0" macro="[0]!ENTER_B">
                <anchor moveWithCells="1" sizeWithCells="1">
                  <from>
                    <xdr:col>12</xdr:col>
                    <xdr:colOff>47625</xdr:colOff>
                    <xdr:row>1</xdr:row>
                    <xdr:rowOff>1257300</xdr:rowOff>
                  </from>
                  <to>
                    <xdr:col>13</xdr:col>
                    <xdr:colOff>142875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9" r:id="rId10" name="Button 7">
              <controlPr defaultSize="0" print="0" autoFill="0" autoLine="0" autoPict="0" macro="[0]!ENTER_C">
                <anchor moveWithCells="1" sizeWithCells="1">
                  <from>
                    <xdr:col>13</xdr:col>
                    <xdr:colOff>161925</xdr:colOff>
                    <xdr:row>1</xdr:row>
                    <xdr:rowOff>1257300</xdr:rowOff>
                  </from>
                  <to>
                    <xdr:col>13</xdr:col>
                    <xdr:colOff>485775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600" r:id="rId11" name="Button 8">
              <controlPr defaultSize="0" print="0" autoFill="0" autoLine="0" autoPict="0" macro="[0]!ENTER_N">
                <anchor moveWithCells="1" sizeWithCells="1">
                  <from>
                    <xdr:col>9</xdr:col>
                    <xdr:colOff>95250</xdr:colOff>
                    <xdr:row>1</xdr:row>
                    <xdr:rowOff>1257300</xdr:rowOff>
                  </from>
                  <to>
                    <xdr:col>10</xdr:col>
                    <xdr:colOff>200025</xdr:colOff>
                    <xdr:row>1</xdr:row>
                    <xdr:rowOff>1524000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0B4D1-DDFA-4D60-B951-151152E698F7}">
  <sheetPr codeName="Sheet52">
    <pageSetUpPr fitToPage="1"/>
  </sheetPr>
  <dimension ref="A1:AO76"/>
  <sheetViews>
    <sheetView showGridLines="0" showOutlineSymbols="0" defaultGridColor="0" colorId="8" zoomScaleNormal="100" workbookViewId="0">
      <pane xSplit="14" ySplit="2" topLeftCell="O3" activePane="bottomRight" state="frozen"/>
      <selection activeCell="I22" sqref="I22"/>
      <selection pane="topRight" activeCell="I22" sqref="I22"/>
      <selection pane="bottomLeft" activeCell="I22" sqref="I22"/>
      <selection pane="bottomRight" activeCell="AM8" sqref="AM8"/>
    </sheetView>
  </sheetViews>
  <sheetFormatPr defaultColWidth="9.140625" defaultRowHeight="15" customHeight="1"/>
  <cols>
    <col min="1" max="13" width="3.5703125" style="5" customWidth="1"/>
    <col min="14" max="14" width="11.85546875" style="31" customWidth="1"/>
    <col min="15" max="238" width="3.5703125" style="5" customWidth="1"/>
    <col min="239" max="16384" width="9.140625" style="5"/>
  </cols>
  <sheetData>
    <row r="1" spans="1:41" ht="24.95" customHeight="1">
      <c r="A1" s="66" t="s">
        <v>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74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6"/>
    </row>
    <row r="2" spans="1:41" s="9" customFormat="1" ht="135" customHeight="1">
      <c r="A2" s="6"/>
      <c r="N2" s="58"/>
      <c r="O2" s="117" t="s">
        <v>235</v>
      </c>
      <c r="P2" s="117" t="s">
        <v>236</v>
      </c>
      <c r="Q2" s="117" t="s">
        <v>237</v>
      </c>
      <c r="R2" s="117" t="s">
        <v>238</v>
      </c>
      <c r="S2" s="117" t="s">
        <v>239</v>
      </c>
      <c r="T2" s="117" t="s">
        <v>240</v>
      </c>
      <c r="U2" s="157" t="s">
        <v>241</v>
      </c>
      <c r="V2" s="157" t="s">
        <v>242</v>
      </c>
      <c r="W2" s="157" t="s">
        <v>243</v>
      </c>
      <c r="X2" s="157" t="s">
        <v>244</v>
      </c>
      <c r="Y2" s="157" t="s">
        <v>245</v>
      </c>
      <c r="Z2" s="157" t="s">
        <v>246</v>
      </c>
      <c r="AA2" s="157" t="s">
        <v>247</v>
      </c>
      <c r="AB2" s="209" t="s">
        <v>248</v>
      </c>
      <c r="AC2" s="209" t="s">
        <v>249</v>
      </c>
      <c r="AD2" s="209" t="s">
        <v>250</v>
      </c>
      <c r="AE2" s="210" t="s">
        <v>251</v>
      </c>
      <c r="AF2" s="215" t="s">
        <v>252</v>
      </c>
      <c r="AG2" s="215" t="s">
        <v>253</v>
      </c>
      <c r="AH2" s="215" t="s">
        <v>254</v>
      </c>
      <c r="AI2" s="64"/>
      <c r="AJ2" s="64"/>
      <c r="AK2" s="65"/>
      <c r="AL2" s="7"/>
      <c r="AM2" s="8"/>
      <c r="AN2" s="7"/>
    </row>
    <row r="3" spans="1:41" ht="15" customHeight="1">
      <c r="A3" s="55"/>
      <c r="B3" s="80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8"/>
      <c r="O3" s="119"/>
      <c r="P3" s="119"/>
      <c r="Q3" s="119"/>
      <c r="R3" s="118"/>
      <c r="S3" s="119"/>
      <c r="T3" s="119"/>
      <c r="U3" s="158"/>
      <c r="V3" s="159"/>
      <c r="W3" s="159"/>
      <c r="X3" s="159"/>
      <c r="Y3" s="159"/>
      <c r="Z3" s="159"/>
      <c r="AA3" s="159"/>
      <c r="AB3" s="211"/>
      <c r="AC3" s="211"/>
      <c r="AD3" s="211"/>
      <c r="AE3" s="211"/>
      <c r="AF3" s="128"/>
      <c r="AG3" s="128"/>
      <c r="AH3" s="128"/>
      <c r="AI3" s="52"/>
      <c r="AJ3" s="52"/>
      <c r="AK3" s="53"/>
    </row>
    <row r="4" spans="1:41" ht="15" customHeight="1">
      <c r="A4" s="56"/>
      <c r="B4" s="96" t="s">
        <v>125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8"/>
      <c r="O4" s="119"/>
      <c r="P4" s="119"/>
      <c r="Q4" s="119"/>
      <c r="R4" s="119"/>
      <c r="S4" s="119"/>
      <c r="T4" s="119"/>
      <c r="U4" s="158"/>
      <c r="V4" s="158"/>
      <c r="W4" s="158"/>
      <c r="X4" s="158"/>
      <c r="Y4" s="159"/>
      <c r="Z4" s="158"/>
      <c r="AA4" s="158"/>
      <c r="AB4" s="212"/>
      <c r="AC4" s="212"/>
      <c r="AD4" s="211"/>
      <c r="AE4" s="212"/>
      <c r="AF4" s="129"/>
      <c r="AG4" s="129"/>
      <c r="AH4" s="128"/>
      <c r="AI4" s="52"/>
      <c r="AJ4" s="52"/>
      <c r="AK4" s="53"/>
      <c r="AM4" s="120"/>
      <c r="AN4" s="120"/>
      <c r="AO4" s="116" t="s">
        <v>156</v>
      </c>
    </row>
    <row r="5" spans="1:41" ht="15" customHeight="1">
      <c r="A5" s="91"/>
      <c r="B5" s="59"/>
      <c r="C5" s="92" t="s">
        <v>134</v>
      </c>
      <c r="D5" s="93"/>
      <c r="E5" s="93"/>
      <c r="F5" s="93"/>
      <c r="G5" s="93"/>
      <c r="H5" s="93"/>
      <c r="I5" s="93"/>
      <c r="J5" s="93"/>
      <c r="K5" s="93"/>
      <c r="L5" s="93"/>
      <c r="M5" s="93"/>
      <c r="N5" s="94"/>
      <c r="O5" s="119" t="s">
        <v>83</v>
      </c>
      <c r="P5" s="119" t="s">
        <v>83</v>
      </c>
      <c r="Q5" s="119" t="s">
        <v>83</v>
      </c>
      <c r="R5" s="119" t="s">
        <v>83</v>
      </c>
      <c r="S5" s="119" t="s">
        <v>83</v>
      </c>
      <c r="T5" s="119" t="s">
        <v>83</v>
      </c>
      <c r="U5" s="158" t="s">
        <v>83</v>
      </c>
      <c r="V5" s="158" t="s">
        <v>83</v>
      </c>
      <c r="W5" s="158" t="s">
        <v>83</v>
      </c>
      <c r="X5" s="158" t="s">
        <v>83</v>
      </c>
      <c r="Y5" s="158" t="s">
        <v>83</v>
      </c>
      <c r="Z5" s="158" t="s">
        <v>83</v>
      </c>
      <c r="AA5" s="158" t="s">
        <v>83</v>
      </c>
      <c r="AB5" s="211" t="s">
        <v>83</v>
      </c>
      <c r="AC5" s="211" t="s">
        <v>83</v>
      </c>
      <c r="AD5" s="211" t="s">
        <v>83</v>
      </c>
      <c r="AE5" s="211" t="s">
        <v>83</v>
      </c>
      <c r="AF5" s="129" t="s">
        <v>83</v>
      </c>
      <c r="AG5" s="129" t="s">
        <v>83</v>
      </c>
      <c r="AH5" s="129" t="s">
        <v>83</v>
      </c>
      <c r="AI5" s="57"/>
      <c r="AJ5" s="52"/>
      <c r="AK5" s="53"/>
      <c r="AM5" s="160"/>
      <c r="AN5" s="160"/>
      <c r="AO5" s="116" t="s">
        <v>157</v>
      </c>
    </row>
    <row r="6" spans="1:41" ht="15" customHeight="1">
      <c r="A6" s="56" t="s">
        <v>49</v>
      </c>
      <c r="B6" s="96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8"/>
      <c r="O6" s="119"/>
      <c r="P6" s="119"/>
      <c r="Q6" s="118"/>
      <c r="R6" s="119"/>
      <c r="S6" s="119"/>
      <c r="T6" s="119"/>
      <c r="U6" s="159"/>
      <c r="V6" s="158"/>
      <c r="W6" s="159"/>
      <c r="X6" s="159"/>
      <c r="Y6" s="159"/>
      <c r="Z6" s="159"/>
      <c r="AA6" s="158"/>
      <c r="AB6" s="212"/>
      <c r="AC6" s="211"/>
      <c r="AD6" s="212"/>
      <c r="AE6" s="212"/>
      <c r="AF6" s="128"/>
      <c r="AG6" s="128"/>
      <c r="AH6" s="128"/>
      <c r="AI6" s="52"/>
      <c r="AJ6" s="52"/>
      <c r="AK6" s="53"/>
      <c r="AM6" s="213"/>
      <c r="AN6" s="214"/>
      <c r="AO6" s="116" t="s">
        <v>158</v>
      </c>
    </row>
    <row r="7" spans="1:41" ht="15" customHeight="1">
      <c r="A7" s="56" t="s">
        <v>8</v>
      </c>
      <c r="B7" s="96" t="s">
        <v>72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8"/>
      <c r="O7" s="119"/>
      <c r="P7" s="119"/>
      <c r="Q7" s="118"/>
      <c r="R7" s="119"/>
      <c r="S7" s="119"/>
      <c r="T7" s="119"/>
      <c r="U7" s="159"/>
      <c r="V7" s="158"/>
      <c r="W7" s="159"/>
      <c r="X7" s="159"/>
      <c r="Y7" s="158"/>
      <c r="Z7" s="158"/>
      <c r="AA7" s="158"/>
      <c r="AB7" s="212"/>
      <c r="AC7" s="211"/>
      <c r="AD7" s="212"/>
      <c r="AE7" s="212"/>
      <c r="AF7" s="129"/>
      <c r="AG7" s="128"/>
      <c r="AH7" s="129"/>
      <c r="AI7" s="52"/>
      <c r="AJ7" s="52"/>
      <c r="AK7" s="53"/>
      <c r="AM7" s="130"/>
      <c r="AN7" s="130"/>
      <c r="AO7" s="116" t="s">
        <v>159</v>
      </c>
    </row>
    <row r="8" spans="1:41" ht="15" customHeight="1">
      <c r="A8" s="56" t="s">
        <v>42</v>
      </c>
      <c r="B8" s="80"/>
      <c r="C8" s="96" t="s">
        <v>53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8"/>
      <c r="O8" s="119"/>
      <c r="P8" s="119"/>
      <c r="Q8" s="119"/>
      <c r="R8" s="119"/>
      <c r="S8" s="119"/>
      <c r="T8" s="119"/>
      <c r="U8" s="158"/>
      <c r="V8" s="158"/>
      <c r="W8" s="158"/>
      <c r="X8" s="158"/>
      <c r="Y8" s="158"/>
      <c r="Z8" s="158"/>
      <c r="AA8" s="158"/>
      <c r="AB8" s="211"/>
      <c r="AC8" s="212"/>
      <c r="AD8" s="211"/>
      <c r="AE8" s="212"/>
      <c r="AF8" s="129"/>
      <c r="AG8" s="129"/>
      <c r="AH8" s="129"/>
      <c r="AI8" s="52"/>
      <c r="AJ8" s="52"/>
      <c r="AK8" s="17"/>
    </row>
    <row r="9" spans="1:41" ht="15" customHeight="1">
      <c r="A9" s="56" t="s">
        <v>9</v>
      </c>
      <c r="B9" s="80"/>
      <c r="C9" s="99"/>
      <c r="D9" s="92" t="s">
        <v>54</v>
      </c>
      <c r="E9" s="93"/>
      <c r="F9" s="93"/>
      <c r="G9" s="93"/>
      <c r="H9" s="93"/>
      <c r="I9" s="93"/>
      <c r="J9" s="93"/>
      <c r="K9" s="93"/>
      <c r="L9" s="93"/>
      <c r="M9" s="93"/>
      <c r="N9" s="94"/>
      <c r="O9" s="119" t="s">
        <v>83</v>
      </c>
      <c r="P9" s="119" t="s">
        <v>83</v>
      </c>
      <c r="Q9" s="119" t="s">
        <v>83</v>
      </c>
      <c r="R9" s="119" t="s">
        <v>83</v>
      </c>
      <c r="S9" s="119" t="s">
        <v>83</v>
      </c>
      <c r="T9" s="119" t="s">
        <v>83</v>
      </c>
      <c r="U9" s="158" t="s">
        <v>83</v>
      </c>
      <c r="V9" s="158" t="s">
        <v>83</v>
      </c>
      <c r="W9" s="158" t="s">
        <v>83</v>
      </c>
      <c r="X9" s="158" t="s">
        <v>83</v>
      </c>
      <c r="Y9" s="158" t="s">
        <v>83</v>
      </c>
      <c r="Z9" s="158" t="s">
        <v>83</v>
      </c>
      <c r="AA9" s="158" t="s">
        <v>83</v>
      </c>
      <c r="AB9" s="211"/>
      <c r="AC9" s="212"/>
      <c r="AD9" s="211"/>
      <c r="AE9" s="212"/>
      <c r="AF9" s="129" t="s">
        <v>83</v>
      </c>
      <c r="AG9" s="129" t="s">
        <v>83</v>
      </c>
      <c r="AH9" s="129" t="s">
        <v>83</v>
      </c>
      <c r="AI9" s="52"/>
      <c r="AJ9" s="52"/>
      <c r="AK9" s="17"/>
    </row>
    <row r="10" spans="1:41" ht="15" customHeight="1">
      <c r="A10" s="56" t="s">
        <v>10</v>
      </c>
      <c r="B10" s="80"/>
      <c r="C10" s="99"/>
      <c r="D10" s="77" t="s">
        <v>79</v>
      </c>
      <c r="E10" s="77"/>
      <c r="F10" s="77"/>
      <c r="G10" s="77"/>
      <c r="H10" s="77"/>
      <c r="I10" s="77"/>
      <c r="J10" s="77"/>
      <c r="K10" s="77"/>
      <c r="L10" s="77"/>
      <c r="M10" s="77"/>
      <c r="N10" s="78"/>
      <c r="O10" s="119"/>
      <c r="P10" s="119"/>
      <c r="Q10" s="119"/>
      <c r="R10" s="119"/>
      <c r="S10" s="119"/>
      <c r="T10" s="118"/>
      <c r="U10" s="159"/>
      <c r="V10" s="159"/>
      <c r="W10" s="158"/>
      <c r="X10" s="158"/>
      <c r="Y10" s="159"/>
      <c r="Z10" s="159"/>
      <c r="AA10" s="159"/>
      <c r="AB10" s="211" t="s">
        <v>83</v>
      </c>
      <c r="AC10" s="212"/>
      <c r="AD10" s="211"/>
      <c r="AE10" s="212"/>
      <c r="AF10" s="129"/>
      <c r="AG10" s="129"/>
      <c r="AH10" s="129"/>
      <c r="AI10" s="52"/>
      <c r="AJ10" s="52"/>
      <c r="AK10" s="17"/>
    </row>
    <row r="11" spans="1:41" ht="15" customHeight="1">
      <c r="A11" s="56" t="s">
        <v>11</v>
      </c>
      <c r="B11" s="99"/>
      <c r="C11" s="95"/>
      <c r="D11" s="92" t="s">
        <v>80</v>
      </c>
      <c r="E11" s="93"/>
      <c r="F11" s="93"/>
      <c r="G11" s="93"/>
      <c r="H11" s="93"/>
      <c r="I11" s="93"/>
      <c r="J11" s="93"/>
      <c r="K11" s="93"/>
      <c r="L11" s="93"/>
      <c r="M11" s="93"/>
      <c r="N11" s="94"/>
      <c r="O11" s="119"/>
      <c r="P11" s="119"/>
      <c r="Q11" s="119"/>
      <c r="R11" s="119"/>
      <c r="S11" s="119"/>
      <c r="T11" s="118"/>
      <c r="U11" s="159"/>
      <c r="V11" s="159"/>
      <c r="W11" s="159"/>
      <c r="X11" s="158"/>
      <c r="Y11" s="158"/>
      <c r="Z11" s="158"/>
      <c r="AA11" s="159"/>
      <c r="AB11" s="211"/>
      <c r="AC11" s="211" t="s">
        <v>83</v>
      </c>
      <c r="AD11" s="211" t="s">
        <v>83</v>
      </c>
      <c r="AE11" s="211" t="s">
        <v>83</v>
      </c>
      <c r="AF11" s="128"/>
      <c r="AG11" s="128"/>
      <c r="AH11" s="128"/>
      <c r="AI11" s="52"/>
      <c r="AJ11" s="52"/>
      <c r="AK11" s="17"/>
    </row>
    <row r="12" spans="1:41" ht="15" customHeight="1">
      <c r="A12" s="56"/>
      <c r="B12" s="80"/>
      <c r="C12" s="96" t="s">
        <v>151</v>
      </c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19"/>
      <c r="P12" s="119"/>
      <c r="Q12" s="119"/>
      <c r="R12" s="119"/>
      <c r="S12" s="119"/>
      <c r="T12" s="119"/>
      <c r="U12" s="158"/>
      <c r="V12" s="158"/>
      <c r="W12" s="158"/>
      <c r="X12" s="158"/>
      <c r="Y12" s="158"/>
      <c r="Z12" s="158"/>
      <c r="AA12" s="158"/>
      <c r="AB12" s="211"/>
      <c r="AC12" s="212"/>
      <c r="AD12" s="211"/>
      <c r="AE12" s="212"/>
      <c r="AF12" s="129"/>
      <c r="AG12" s="129"/>
      <c r="AH12" s="129"/>
      <c r="AI12" s="52"/>
      <c r="AJ12" s="52"/>
      <c r="AK12" s="17"/>
    </row>
    <row r="13" spans="1:41" ht="15" customHeight="1">
      <c r="A13" s="56"/>
      <c r="B13" s="80"/>
      <c r="C13" s="99"/>
      <c r="D13" s="92" t="s">
        <v>152</v>
      </c>
      <c r="E13" s="93"/>
      <c r="F13" s="93"/>
      <c r="G13" s="93"/>
      <c r="H13" s="93"/>
      <c r="I13" s="93"/>
      <c r="J13" s="93"/>
      <c r="K13" s="93"/>
      <c r="L13" s="93"/>
      <c r="M13" s="93"/>
      <c r="N13" s="94"/>
      <c r="O13" s="119" t="s">
        <v>83</v>
      </c>
      <c r="P13" s="119" t="s">
        <v>83</v>
      </c>
      <c r="Q13" s="119" t="s">
        <v>83</v>
      </c>
      <c r="R13" s="119" t="s">
        <v>83</v>
      </c>
      <c r="S13" s="119" t="s">
        <v>83</v>
      </c>
      <c r="T13" s="119" t="s">
        <v>83</v>
      </c>
      <c r="U13" s="158"/>
      <c r="V13" s="158" t="s">
        <v>83</v>
      </c>
      <c r="W13" s="158" t="s">
        <v>83</v>
      </c>
      <c r="X13" s="159"/>
      <c r="Y13" s="159"/>
      <c r="Z13" s="158" t="s">
        <v>83</v>
      </c>
      <c r="AA13" s="158"/>
      <c r="AB13" s="211" t="s">
        <v>83</v>
      </c>
      <c r="AC13" s="212"/>
      <c r="AD13" s="211" t="s">
        <v>83</v>
      </c>
      <c r="AE13" s="212"/>
      <c r="AF13" s="129" t="s">
        <v>83</v>
      </c>
      <c r="AG13" s="129" t="s">
        <v>83</v>
      </c>
      <c r="AH13" s="129"/>
      <c r="AI13" s="52"/>
      <c r="AJ13" s="52"/>
      <c r="AK13" s="17"/>
    </row>
    <row r="14" spans="1:41" ht="15" customHeight="1">
      <c r="A14" s="56"/>
      <c r="B14" s="80"/>
      <c r="C14" s="99"/>
      <c r="D14" s="77" t="s">
        <v>153</v>
      </c>
      <c r="E14" s="77"/>
      <c r="F14" s="77"/>
      <c r="G14" s="77"/>
      <c r="H14" s="77"/>
      <c r="I14" s="77"/>
      <c r="J14" s="77"/>
      <c r="K14" s="77"/>
      <c r="L14" s="77"/>
      <c r="M14" s="77"/>
      <c r="N14" s="78"/>
      <c r="O14" s="119"/>
      <c r="P14" s="119"/>
      <c r="Q14" s="119"/>
      <c r="R14" s="119"/>
      <c r="S14" s="119"/>
      <c r="T14" s="118"/>
      <c r="U14" s="158" t="s">
        <v>83</v>
      </c>
      <c r="V14" s="158"/>
      <c r="W14" s="158"/>
      <c r="X14" s="158" t="s">
        <v>83</v>
      </c>
      <c r="Y14" s="158" t="s">
        <v>83</v>
      </c>
      <c r="Z14" s="158"/>
      <c r="AA14" s="158" t="s">
        <v>83</v>
      </c>
      <c r="AB14" s="211"/>
      <c r="AC14" s="211" t="s">
        <v>83</v>
      </c>
      <c r="AD14" s="211"/>
      <c r="AE14" s="211" t="s">
        <v>83</v>
      </c>
      <c r="AF14" s="129"/>
      <c r="AG14" s="129"/>
      <c r="AH14" s="129" t="s">
        <v>83</v>
      </c>
      <c r="AI14" s="52"/>
      <c r="AJ14" s="52"/>
      <c r="AK14" s="17"/>
    </row>
    <row r="15" spans="1:41" ht="15" customHeight="1">
      <c r="A15" s="56"/>
      <c r="B15" s="80"/>
      <c r="C15" s="96" t="s">
        <v>154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19"/>
      <c r="P15" s="119"/>
      <c r="Q15" s="119"/>
      <c r="R15" s="119"/>
      <c r="S15" s="119"/>
      <c r="T15" s="119"/>
      <c r="U15" s="158"/>
      <c r="V15" s="158"/>
      <c r="W15" s="158"/>
      <c r="X15" s="158"/>
      <c r="Y15" s="158"/>
      <c r="Z15" s="158"/>
      <c r="AA15" s="158"/>
      <c r="AB15" s="211"/>
      <c r="AC15" s="212"/>
      <c r="AD15" s="211"/>
      <c r="AE15" s="212"/>
      <c r="AF15" s="129"/>
      <c r="AG15" s="129"/>
      <c r="AH15" s="129"/>
      <c r="AI15" s="52"/>
      <c r="AJ15" s="52"/>
      <c r="AK15" s="17"/>
    </row>
    <row r="16" spans="1:41" ht="15" customHeight="1">
      <c r="A16" s="56"/>
      <c r="B16" s="80"/>
      <c r="C16" s="99"/>
      <c r="D16" s="92" t="s">
        <v>152</v>
      </c>
      <c r="E16" s="93"/>
      <c r="F16" s="93"/>
      <c r="G16" s="93"/>
      <c r="H16" s="93"/>
      <c r="I16" s="93"/>
      <c r="J16" s="93"/>
      <c r="K16" s="93"/>
      <c r="L16" s="93"/>
      <c r="M16" s="93"/>
      <c r="N16" s="94"/>
      <c r="O16" s="119" t="s">
        <v>83</v>
      </c>
      <c r="P16" s="119" t="s">
        <v>83</v>
      </c>
      <c r="Q16" s="119" t="s">
        <v>83</v>
      </c>
      <c r="R16" s="119" t="s">
        <v>83</v>
      </c>
      <c r="S16" s="119" t="s">
        <v>83</v>
      </c>
      <c r="T16" s="119" t="s">
        <v>83</v>
      </c>
      <c r="U16" s="158" t="s">
        <v>83</v>
      </c>
      <c r="V16" s="158"/>
      <c r="W16" s="158" t="s">
        <v>83</v>
      </c>
      <c r="X16" s="158"/>
      <c r="Y16" s="158" t="s">
        <v>83</v>
      </c>
      <c r="Z16" s="158"/>
      <c r="AA16" s="159"/>
      <c r="AB16" s="211" t="s">
        <v>83</v>
      </c>
      <c r="AC16" s="211" t="s">
        <v>83</v>
      </c>
      <c r="AD16" s="211"/>
      <c r="AE16" s="211"/>
      <c r="AF16" s="129" t="s">
        <v>83</v>
      </c>
      <c r="AG16" s="129" t="s">
        <v>83</v>
      </c>
      <c r="AH16" s="129"/>
      <c r="AI16" s="52"/>
      <c r="AJ16" s="52"/>
      <c r="AK16" s="17"/>
    </row>
    <row r="17" spans="1:37" ht="15" customHeight="1">
      <c r="A17" s="56"/>
      <c r="B17" s="80"/>
      <c r="C17" s="99"/>
      <c r="D17" s="77" t="s">
        <v>153</v>
      </c>
      <c r="E17" s="77"/>
      <c r="F17" s="77"/>
      <c r="G17" s="77"/>
      <c r="H17" s="77"/>
      <c r="I17" s="77"/>
      <c r="J17" s="77"/>
      <c r="K17" s="77"/>
      <c r="L17" s="77"/>
      <c r="M17" s="77"/>
      <c r="N17" s="78"/>
      <c r="O17" s="119"/>
      <c r="P17" s="119"/>
      <c r="Q17" s="119"/>
      <c r="R17" s="119"/>
      <c r="S17" s="119"/>
      <c r="T17" s="118"/>
      <c r="U17" s="159"/>
      <c r="V17" s="158" t="s">
        <v>83</v>
      </c>
      <c r="W17" s="158"/>
      <c r="X17" s="158" t="s">
        <v>83</v>
      </c>
      <c r="Y17" s="159"/>
      <c r="Z17" s="158" t="s">
        <v>83</v>
      </c>
      <c r="AA17" s="158" t="s">
        <v>83</v>
      </c>
      <c r="AB17" s="212"/>
      <c r="AC17" s="212"/>
      <c r="AD17" s="211" t="s">
        <v>83</v>
      </c>
      <c r="AE17" s="211" t="s">
        <v>83</v>
      </c>
      <c r="AF17" s="129"/>
      <c r="AG17" s="129"/>
      <c r="AH17" s="129" t="s">
        <v>83</v>
      </c>
      <c r="AI17" s="52"/>
      <c r="AJ17" s="52"/>
      <c r="AK17" s="17"/>
    </row>
    <row r="18" spans="1:37" ht="15" customHeight="1">
      <c r="A18" s="56"/>
      <c r="B18" s="80"/>
      <c r="C18" s="96" t="s">
        <v>155</v>
      </c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8"/>
      <c r="O18" s="119"/>
      <c r="P18" s="119"/>
      <c r="Q18" s="119"/>
      <c r="R18" s="119"/>
      <c r="S18" s="119"/>
      <c r="T18" s="119"/>
      <c r="U18" s="158"/>
      <c r="V18" s="158"/>
      <c r="W18" s="158"/>
      <c r="X18" s="158"/>
      <c r="Y18" s="158"/>
      <c r="Z18" s="158"/>
      <c r="AA18" s="158"/>
      <c r="AB18" s="211"/>
      <c r="AC18" s="212"/>
      <c r="AD18" s="211"/>
      <c r="AE18" s="212"/>
      <c r="AF18" s="129"/>
      <c r="AG18" s="129"/>
      <c r="AH18" s="129"/>
      <c r="AI18" s="52"/>
      <c r="AJ18" s="52"/>
      <c r="AK18" s="17"/>
    </row>
    <row r="19" spans="1:37" ht="15" customHeight="1">
      <c r="A19" s="56"/>
      <c r="B19" s="80"/>
      <c r="C19" s="99"/>
      <c r="D19" s="92" t="s">
        <v>152</v>
      </c>
      <c r="E19" s="93"/>
      <c r="F19" s="93"/>
      <c r="G19" s="93"/>
      <c r="H19" s="93"/>
      <c r="I19" s="93"/>
      <c r="J19" s="93"/>
      <c r="K19" s="93"/>
      <c r="L19" s="93"/>
      <c r="M19" s="93"/>
      <c r="N19" s="94"/>
      <c r="O19" s="119" t="s">
        <v>83</v>
      </c>
      <c r="P19" s="119" t="s">
        <v>83</v>
      </c>
      <c r="Q19" s="119" t="s">
        <v>83</v>
      </c>
      <c r="R19" s="119" t="s">
        <v>83</v>
      </c>
      <c r="S19" s="119" t="s">
        <v>83</v>
      </c>
      <c r="T19" s="119" t="s">
        <v>83</v>
      </c>
      <c r="U19" s="158" t="s">
        <v>83</v>
      </c>
      <c r="V19" s="158" t="s">
        <v>83</v>
      </c>
      <c r="W19" s="158"/>
      <c r="X19" s="158" t="s">
        <v>83</v>
      </c>
      <c r="Y19" s="158"/>
      <c r="Z19" s="158"/>
      <c r="AA19" s="159"/>
      <c r="AB19" s="211"/>
      <c r="AC19" s="211" t="s">
        <v>83</v>
      </c>
      <c r="AD19" s="211" t="s">
        <v>83</v>
      </c>
      <c r="AE19" s="211" t="s">
        <v>83</v>
      </c>
      <c r="AF19" s="129" t="s">
        <v>83</v>
      </c>
      <c r="AG19" s="129"/>
      <c r="AH19" s="129" t="s">
        <v>83</v>
      </c>
      <c r="AI19" s="52"/>
      <c r="AJ19" s="52"/>
      <c r="AK19" s="17"/>
    </row>
    <row r="20" spans="1:37" ht="15" customHeight="1">
      <c r="A20" s="56"/>
      <c r="B20" s="79"/>
      <c r="C20" s="95"/>
      <c r="D20" s="81" t="s">
        <v>153</v>
      </c>
      <c r="E20" s="81"/>
      <c r="F20" s="81"/>
      <c r="G20" s="81"/>
      <c r="H20" s="81"/>
      <c r="I20" s="81"/>
      <c r="J20" s="81"/>
      <c r="K20" s="81"/>
      <c r="L20" s="81"/>
      <c r="M20" s="81"/>
      <c r="N20" s="82"/>
      <c r="O20" s="119"/>
      <c r="P20" s="119"/>
      <c r="Q20" s="119"/>
      <c r="R20" s="119"/>
      <c r="S20" s="119"/>
      <c r="T20" s="118"/>
      <c r="U20" s="159"/>
      <c r="V20" s="159"/>
      <c r="W20" s="158" t="s">
        <v>83</v>
      </c>
      <c r="X20" s="158"/>
      <c r="Y20" s="158" t="s">
        <v>83</v>
      </c>
      <c r="Z20" s="158" t="s">
        <v>83</v>
      </c>
      <c r="AA20" s="158" t="s">
        <v>83</v>
      </c>
      <c r="AB20" s="211" t="s">
        <v>83</v>
      </c>
      <c r="AC20" s="212"/>
      <c r="AD20" s="211"/>
      <c r="AE20" s="212"/>
      <c r="AF20" s="129"/>
      <c r="AG20" s="129" t="s">
        <v>83</v>
      </c>
      <c r="AH20" s="129"/>
      <c r="AI20" s="52"/>
      <c r="AJ20" s="52"/>
      <c r="AK20" s="17"/>
    </row>
    <row r="21" spans="1:37" ht="15" customHeight="1">
      <c r="A21" s="56"/>
      <c r="B21" s="80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119"/>
      <c r="P21" s="119"/>
      <c r="Q21" s="119"/>
      <c r="R21" s="119"/>
      <c r="S21" s="119"/>
      <c r="T21" s="119"/>
      <c r="U21" s="158"/>
      <c r="V21" s="158"/>
      <c r="W21" s="158"/>
      <c r="X21" s="159"/>
      <c r="Y21" s="158"/>
      <c r="Z21" s="159"/>
      <c r="AA21" s="158"/>
      <c r="AB21" s="211"/>
      <c r="AC21" s="212"/>
      <c r="AD21" s="211"/>
      <c r="AE21" s="212"/>
      <c r="AF21" s="129"/>
      <c r="AG21" s="129"/>
      <c r="AH21" s="129"/>
      <c r="AI21" s="52"/>
      <c r="AJ21" s="52"/>
      <c r="AK21" s="17"/>
    </row>
    <row r="22" spans="1:37" ht="15" customHeight="1">
      <c r="A22" s="56"/>
      <c r="B22" s="96" t="s">
        <v>113</v>
      </c>
      <c r="C22" s="96"/>
      <c r="D22" s="96"/>
      <c r="E22" s="97"/>
      <c r="F22" s="97"/>
      <c r="G22" s="97"/>
      <c r="H22" s="97"/>
      <c r="I22" s="97"/>
      <c r="J22" s="97"/>
      <c r="K22" s="97"/>
      <c r="L22" s="97"/>
      <c r="M22" s="97"/>
      <c r="N22" s="98"/>
      <c r="O22" s="119"/>
      <c r="P22" s="119"/>
      <c r="Q22" s="119"/>
      <c r="R22" s="119"/>
      <c r="S22" s="119"/>
      <c r="T22" s="119"/>
      <c r="U22" s="158"/>
      <c r="V22" s="158"/>
      <c r="W22" s="158"/>
      <c r="X22" s="158"/>
      <c r="Y22" s="158"/>
      <c r="Z22" s="158"/>
      <c r="AA22" s="158"/>
      <c r="AB22" s="212"/>
      <c r="AC22" s="211"/>
      <c r="AD22" s="211"/>
      <c r="AE22" s="212"/>
      <c r="AF22" s="129"/>
      <c r="AG22" s="128"/>
      <c r="AH22" s="128"/>
      <c r="AI22" s="52"/>
      <c r="AJ22" s="52"/>
      <c r="AK22" s="53"/>
    </row>
    <row r="23" spans="1:37" ht="15" customHeight="1">
      <c r="B23" s="80"/>
      <c r="C23" s="92" t="s">
        <v>114</v>
      </c>
      <c r="D23" s="92"/>
      <c r="E23" s="93"/>
      <c r="F23" s="93"/>
      <c r="G23" s="93"/>
      <c r="H23" s="93"/>
      <c r="I23" s="93"/>
      <c r="J23" s="93"/>
      <c r="K23" s="93"/>
      <c r="L23" s="93"/>
      <c r="M23" s="93"/>
      <c r="N23" s="94"/>
      <c r="O23" s="119" t="s">
        <v>83</v>
      </c>
      <c r="P23" s="119" t="s">
        <v>83</v>
      </c>
      <c r="Q23" s="119" t="s">
        <v>83</v>
      </c>
      <c r="R23" s="119" t="s">
        <v>83</v>
      </c>
      <c r="S23" s="119" t="s">
        <v>83</v>
      </c>
      <c r="T23" s="119" t="s">
        <v>83</v>
      </c>
      <c r="U23" s="158" t="s">
        <v>83</v>
      </c>
      <c r="V23" s="158" t="s">
        <v>83</v>
      </c>
      <c r="W23" s="158" t="s">
        <v>83</v>
      </c>
      <c r="X23" s="158" t="s">
        <v>83</v>
      </c>
      <c r="Y23" s="158" t="s">
        <v>83</v>
      </c>
      <c r="Z23" s="158" t="s">
        <v>83</v>
      </c>
      <c r="AA23" s="158" t="s">
        <v>83</v>
      </c>
      <c r="AB23" s="211" t="s">
        <v>83</v>
      </c>
      <c r="AC23" s="211" t="s">
        <v>83</v>
      </c>
      <c r="AD23" s="211" t="s">
        <v>83</v>
      </c>
      <c r="AE23" s="211" t="s">
        <v>83</v>
      </c>
      <c r="AF23" s="129" t="s">
        <v>83</v>
      </c>
      <c r="AG23" s="129" t="s">
        <v>83</v>
      </c>
      <c r="AH23" s="129" t="s">
        <v>83</v>
      </c>
      <c r="AI23" s="125"/>
      <c r="AJ23" s="125"/>
      <c r="AK23" s="53"/>
    </row>
    <row r="24" spans="1:37" ht="15" customHeight="1">
      <c r="B24" s="96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8"/>
      <c r="O24" s="119"/>
      <c r="P24" s="119"/>
      <c r="Q24" s="119"/>
      <c r="R24" s="118"/>
      <c r="S24" s="119"/>
      <c r="T24" s="119"/>
      <c r="U24" s="158"/>
      <c r="V24" s="158"/>
      <c r="W24" s="158"/>
      <c r="X24" s="159"/>
      <c r="Y24" s="158"/>
      <c r="Z24" s="158"/>
      <c r="AA24" s="158"/>
      <c r="AB24" s="212"/>
      <c r="AC24" s="211"/>
      <c r="AD24" s="211"/>
      <c r="AE24" s="212"/>
      <c r="AF24" s="129"/>
      <c r="AG24" s="128"/>
      <c r="AH24" s="128"/>
      <c r="AI24" s="52"/>
      <c r="AJ24" s="52"/>
      <c r="AK24" s="53"/>
    </row>
    <row r="25" spans="1:37" ht="15" customHeight="1">
      <c r="A25" s="56"/>
      <c r="B25" s="96" t="s">
        <v>104</v>
      </c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8"/>
      <c r="O25" s="119"/>
      <c r="P25" s="119"/>
      <c r="Q25" s="119"/>
      <c r="R25" s="119"/>
      <c r="S25" s="119"/>
      <c r="T25" s="119"/>
      <c r="U25" s="158"/>
      <c r="V25" s="158"/>
      <c r="W25" s="158"/>
      <c r="X25" s="158"/>
      <c r="Y25" s="158"/>
      <c r="Z25" s="158"/>
      <c r="AA25" s="158"/>
      <c r="AB25" s="212"/>
      <c r="AC25" s="212"/>
      <c r="AD25" s="212"/>
      <c r="AE25" s="212"/>
      <c r="AF25" s="129"/>
      <c r="AG25" s="129"/>
      <c r="AH25" s="129"/>
      <c r="AI25" s="52"/>
      <c r="AJ25" s="52"/>
      <c r="AK25" s="53"/>
    </row>
    <row r="26" spans="1:37" ht="15" customHeight="1">
      <c r="A26" s="56"/>
      <c r="B26" s="80"/>
      <c r="C26" s="148" t="s">
        <v>109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50"/>
      <c r="O26" s="119" t="s">
        <v>83</v>
      </c>
      <c r="P26" s="119"/>
      <c r="Q26" s="118"/>
      <c r="R26" s="119"/>
      <c r="S26" s="119"/>
      <c r="T26" s="119"/>
      <c r="U26" s="158"/>
      <c r="V26" s="158"/>
      <c r="W26" s="159"/>
      <c r="X26" s="159"/>
      <c r="Y26" s="158"/>
      <c r="Z26" s="159"/>
      <c r="AA26" s="158"/>
      <c r="AB26" s="212"/>
      <c r="AC26" s="212"/>
      <c r="AD26" s="211"/>
      <c r="AE26" s="211"/>
      <c r="AF26" s="128"/>
      <c r="AG26" s="128"/>
      <c r="AH26" s="128"/>
      <c r="AI26" s="126"/>
      <c r="AJ26" s="126"/>
      <c r="AK26" s="151"/>
    </row>
    <row r="27" spans="1:37" ht="15" customHeight="1">
      <c r="A27" s="56"/>
      <c r="B27" s="80"/>
      <c r="C27" s="148" t="s">
        <v>122</v>
      </c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50"/>
      <c r="O27" s="119"/>
      <c r="P27" s="119" t="s">
        <v>83</v>
      </c>
      <c r="Q27" s="119"/>
      <c r="R27" s="119"/>
      <c r="S27" s="119"/>
      <c r="T27" s="119"/>
      <c r="U27" s="158"/>
      <c r="V27" s="158"/>
      <c r="W27" s="158"/>
      <c r="X27" s="158"/>
      <c r="Y27" s="158"/>
      <c r="Z27" s="158"/>
      <c r="AA27" s="158"/>
      <c r="AB27" s="212"/>
      <c r="AC27" s="212"/>
      <c r="AD27" s="211"/>
      <c r="AE27" s="212"/>
      <c r="AF27" s="129"/>
      <c r="AG27" s="129"/>
      <c r="AH27" s="128"/>
      <c r="AI27" s="126"/>
      <c r="AJ27" s="126"/>
      <c r="AK27" s="151"/>
    </row>
    <row r="28" spans="1:37" ht="15" customHeight="1">
      <c r="A28" s="56"/>
      <c r="B28" s="80"/>
      <c r="C28" s="80" t="s">
        <v>110</v>
      </c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8"/>
      <c r="O28" s="119"/>
      <c r="P28" s="119"/>
      <c r="Q28" s="119" t="s">
        <v>83</v>
      </c>
      <c r="R28" s="119"/>
      <c r="S28" s="119"/>
      <c r="T28" s="119"/>
      <c r="U28" s="158" t="s">
        <v>83</v>
      </c>
      <c r="V28" s="158" t="s">
        <v>83</v>
      </c>
      <c r="W28" s="158" t="s">
        <v>83</v>
      </c>
      <c r="X28" s="158" t="s">
        <v>83</v>
      </c>
      <c r="Y28" s="158" t="s">
        <v>83</v>
      </c>
      <c r="Z28" s="158" t="s">
        <v>83</v>
      </c>
      <c r="AA28" s="158" t="s">
        <v>83</v>
      </c>
      <c r="AB28" s="211" t="s">
        <v>83</v>
      </c>
      <c r="AC28" s="211" t="s">
        <v>83</v>
      </c>
      <c r="AD28" s="211" t="s">
        <v>83</v>
      </c>
      <c r="AE28" s="211" t="s">
        <v>83</v>
      </c>
      <c r="AF28" s="129" t="s">
        <v>83</v>
      </c>
      <c r="AG28" s="129" t="s">
        <v>83</v>
      </c>
      <c r="AH28" s="129" t="s">
        <v>83</v>
      </c>
      <c r="AI28" s="52"/>
      <c r="AJ28" s="52"/>
      <c r="AK28" s="53"/>
    </row>
    <row r="29" spans="1:37" ht="15" customHeight="1">
      <c r="A29" s="56"/>
      <c r="B29" s="80"/>
      <c r="C29" s="92" t="s">
        <v>111</v>
      </c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4"/>
      <c r="O29" s="119"/>
      <c r="P29" s="119"/>
      <c r="Q29" s="119"/>
      <c r="R29" s="119" t="s">
        <v>83</v>
      </c>
      <c r="S29" s="119"/>
      <c r="T29" s="119"/>
      <c r="U29" s="158"/>
      <c r="V29" s="158"/>
      <c r="W29" s="158"/>
      <c r="X29" s="158"/>
      <c r="Y29" s="158"/>
      <c r="Z29" s="158"/>
      <c r="AA29" s="158"/>
      <c r="AB29" s="212"/>
      <c r="AC29" s="212"/>
      <c r="AD29" s="212"/>
      <c r="AE29" s="212"/>
      <c r="AF29" s="129"/>
      <c r="AG29" s="128"/>
      <c r="AH29" s="128"/>
      <c r="AI29" s="52"/>
      <c r="AJ29" s="52"/>
      <c r="AK29" s="53"/>
    </row>
    <row r="30" spans="1:37" ht="30.75" customHeight="1">
      <c r="A30" s="56"/>
      <c r="B30" s="80"/>
      <c r="C30" s="199" t="s">
        <v>118</v>
      </c>
      <c r="D30" s="200"/>
      <c r="E30" s="200"/>
      <c r="F30" s="200"/>
      <c r="G30" s="200"/>
      <c r="H30" s="200"/>
      <c r="I30" s="200"/>
      <c r="J30" s="200"/>
      <c r="K30" s="200"/>
      <c r="L30" s="200"/>
      <c r="M30" s="200"/>
      <c r="N30" s="201"/>
      <c r="O30" s="119"/>
      <c r="P30" s="119"/>
      <c r="Q30" s="119"/>
      <c r="R30" s="119"/>
      <c r="S30" s="119" t="s">
        <v>83</v>
      </c>
      <c r="T30" s="119"/>
      <c r="U30" s="158"/>
      <c r="V30" s="158"/>
      <c r="W30" s="158"/>
      <c r="X30" s="158"/>
      <c r="Y30" s="158"/>
      <c r="Z30" s="158"/>
      <c r="AA30" s="158"/>
      <c r="AB30" s="212"/>
      <c r="AC30" s="212"/>
      <c r="AD30" s="212"/>
      <c r="AE30" s="212"/>
      <c r="AF30" s="129"/>
      <c r="AG30" s="128"/>
      <c r="AH30" s="128"/>
      <c r="AI30" s="52"/>
      <c r="AJ30" s="52"/>
      <c r="AK30" s="53"/>
    </row>
    <row r="31" spans="1:37" ht="30" customHeight="1">
      <c r="A31" s="56"/>
      <c r="B31" s="79"/>
      <c r="C31" s="181" t="s">
        <v>119</v>
      </c>
      <c r="D31" s="202"/>
      <c r="E31" s="202"/>
      <c r="F31" s="202"/>
      <c r="G31" s="202"/>
      <c r="H31" s="202"/>
      <c r="I31" s="202"/>
      <c r="J31" s="202"/>
      <c r="K31" s="202"/>
      <c r="L31" s="202"/>
      <c r="M31" s="202"/>
      <c r="N31" s="203"/>
      <c r="O31" s="119"/>
      <c r="P31" s="119"/>
      <c r="Q31" s="119"/>
      <c r="R31" s="119"/>
      <c r="S31" s="119"/>
      <c r="T31" s="119" t="s">
        <v>83</v>
      </c>
      <c r="U31" s="158"/>
      <c r="V31" s="158"/>
      <c r="W31" s="158"/>
      <c r="X31" s="158"/>
      <c r="Y31" s="158"/>
      <c r="Z31" s="158"/>
      <c r="AA31" s="158"/>
      <c r="AB31" s="212"/>
      <c r="AC31" s="212"/>
      <c r="AD31" s="212"/>
      <c r="AE31" s="212"/>
      <c r="AF31" s="129"/>
      <c r="AG31" s="128"/>
      <c r="AH31" s="128"/>
      <c r="AI31" s="52"/>
      <c r="AJ31" s="52"/>
      <c r="AK31" s="53"/>
    </row>
    <row r="32" spans="1:37" ht="15" customHeight="1">
      <c r="B32" s="79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2"/>
      <c r="O32" s="119"/>
      <c r="P32" s="119"/>
      <c r="Q32" s="118"/>
      <c r="R32" s="118"/>
      <c r="S32" s="119"/>
      <c r="T32" s="119"/>
      <c r="U32" s="158"/>
      <c r="V32" s="158"/>
      <c r="W32" s="159"/>
      <c r="X32" s="159"/>
      <c r="Y32" s="158"/>
      <c r="Z32" s="158"/>
      <c r="AA32" s="158"/>
      <c r="AB32" s="212"/>
      <c r="AC32" s="212"/>
      <c r="AD32" s="211"/>
      <c r="AE32" s="212"/>
      <c r="AF32" s="129"/>
      <c r="AG32" s="129"/>
      <c r="AH32" s="128"/>
      <c r="AI32" s="52"/>
      <c r="AJ32" s="52"/>
      <c r="AK32" s="53"/>
    </row>
    <row r="33" spans="1:37" ht="15" customHeight="1">
      <c r="A33" s="102"/>
      <c r="B33" s="96" t="s">
        <v>117</v>
      </c>
      <c r="C33" s="139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1"/>
      <c r="O33" s="119"/>
      <c r="P33" s="119"/>
      <c r="Q33" s="119"/>
      <c r="R33" s="119"/>
      <c r="S33" s="119"/>
      <c r="T33" s="119"/>
      <c r="U33" s="158"/>
      <c r="V33" s="158"/>
      <c r="W33" s="158"/>
      <c r="X33" s="158"/>
      <c r="Y33" s="158"/>
      <c r="Z33" s="158"/>
      <c r="AA33" s="159"/>
      <c r="AB33" s="211"/>
      <c r="AC33" s="211"/>
      <c r="AD33" s="211"/>
      <c r="AE33" s="211"/>
      <c r="AF33" s="128"/>
      <c r="AG33" s="128"/>
      <c r="AH33" s="128"/>
      <c r="AI33" s="52"/>
      <c r="AJ33" s="52"/>
      <c r="AK33" s="17"/>
    </row>
    <row r="34" spans="1:37" ht="15" customHeight="1">
      <c r="A34" s="56"/>
      <c r="B34" s="13"/>
      <c r="C34" s="204" t="s">
        <v>116</v>
      </c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6"/>
      <c r="O34" s="119" t="s">
        <v>83</v>
      </c>
      <c r="P34" s="119" t="s">
        <v>83</v>
      </c>
      <c r="Q34" s="119" t="s">
        <v>83</v>
      </c>
      <c r="R34" s="119" t="s">
        <v>83</v>
      </c>
      <c r="S34" s="119" t="s">
        <v>83</v>
      </c>
      <c r="T34" s="119" t="s">
        <v>83</v>
      </c>
      <c r="U34" s="158" t="s">
        <v>83</v>
      </c>
      <c r="V34" s="158" t="s">
        <v>83</v>
      </c>
      <c r="W34" s="158" t="s">
        <v>83</v>
      </c>
      <c r="X34" s="158" t="s">
        <v>83</v>
      </c>
      <c r="Y34" s="158" t="s">
        <v>83</v>
      </c>
      <c r="Z34" s="158" t="s">
        <v>83</v>
      </c>
      <c r="AA34" s="158" t="s">
        <v>83</v>
      </c>
      <c r="AB34" s="212"/>
      <c r="AC34" s="212"/>
      <c r="AD34" s="212"/>
      <c r="AE34" s="212"/>
      <c r="AF34" s="129" t="s">
        <v>83</v>
      </c>
      <c r="AG34" s="129" t="s">
        <v>83</v>
      </c>
      <c r="AH34" s="129" t="s">
        <v>83</v>
      </c>
      <c r="AI34" s="52"/>
      <c r="AJ34" s="52"/>
      <c r="AK34" s="17"/>
    </row>
    <row r="35" spans="1:37" ht="15" customHeight="1">
      <c r="A35" s="56"/>
      <c r="B35" s="96" t="s">
        <v>137</v>
      </c>
      <c r="C35" s="139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1"/>
      <c r="O35" s="119"/>
      <c r="P35" s="119"/>
      <c r="Q35" s="119"/>
      <c r="R35" s="119"/>
      <c r="S35" s="119"/>
      <c r="T35" s="119"/>
      <c r="U35" s="158"/>
      <c r="V35" s="158"/>
      <c r="W35" s="158"/>
      <c r="X35" s="158"/>
      <c r="Y35" s="158"/>
      <c r="Z35" s="158"/>
      <c r="AA35" s="158"/>
      <c r="AB35" s="212"/>
      <c r="AC35" s="212"/>
      <c r="AD35" s="211"/>
      <c r="AE35" s="211"/>
      <c r="AF35" s="128"/>
      <c r="AG35" s="128"/>
      <c r="AH35" s="128"/>
      <c r="AI35" s="52"/>
      <c r="AJ35" s="52"/>
      <c r="AK35" s="17"/>
    </row>
    <row r="36" spans="1:37" ht="30" customHeight="1">
      <c r="A36" s="56"/>
      <c r="B36" s="13"/>
      <c r="C36" s="204" t="s">
        <v>138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6"/>
      <c r="O36" s="119"/>
      <c r="P36" s="119"/>
      <c r="Q36" s="118"/>
      <c r="R36" s="119"/>
      <c r="S36" s="119"/>
      <c r="T36" s="119"/>
      <c r="U36" s="158" t="s">
        <v>83</v>
      </c>
      <c r="V36" s="158" t="s">
        <v>83</v>
      </c>
      <c r="W36" s="158"/>
      <c r="X36" s="158" t="s">
        <v>83</v>
      </c>
      <c r="Y36" s="158" t="s">
        <v>83</v>
      </c>
      <c r="Z36" s="158" t="s">
        <v>83</v>
      </c>
      <c r="AA36" s="158" t="s">
        <v>83</v>
      </c>
      <c r="AB36" s="212"/>
      <c r="AC36" s="211" t="s">
        <v>83</v>
      </c>
      <c r="AD36" s="211" t="s">
        <v>83</v>
      </c>
      <c r="AE36" s="211" t="s">
        <v>83</v>
      </c>
      <c r="AF36" s="129"/>
      <c r="AG36" s="128"/>
      <c r="AH36" s="129" t="s">
        <v>83</v>
      </c>
      <c r="AI36" s="52"/>
      <c r="AJ36" s="52"/>
      <c r="AK36" s="53"/>
    </row>
    <row r="37" spans="1:37" ht="15" customHeight="1">
      <c r="A37" s="56"/>
      <c r="B37" s="96" t="s">
        <v>135</v>
      </c>
      <c r="C37" s="139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1"/>
      <c r="O37" s="119"/>
      <c r="P37" s="119"/>
      <c r="Q37" s="119"/>
      <c r="R37" s="119"/>
      <c r="S37" s="119"/>
      <c r="T37" s="119"/>
      <c r="U37" s="158"/>
      <c r="V37" s="158"/>
      <c r="W37" s="158"/>
      <c r="X37" s="158"/>
      <c r="Y37" s="158"/>
      <c r="Z37" s="159"/>
      <c r="AA37" s="158"/>
      <c r="AB37" s="212"/>
      <c r="AC37" s="211"/>
      <c r="AD37" s="211"/>
      <c r="AE37" s="212"/>
      <c r="AF37" s="129"/>
      <c r="AG37" s="128"/>
      <c r="AH37" s="128"/>
      <c r="AI37" s="52"/>
      <c r="AJ37" s="52"/>
      <c r="AK37" s="17"/>
    </row>
    <row r="38" spans="1:37" ht="28.5" customHeight="1">
      <c r="A38" s="56"/>
      <c r="B38" s="13"/>
      <c r="C38" s="204" t="s">
        <v>136</v>
      </c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6"/>
      <c r="O38" s="119"/>
      <c r="P38" s="119"/>
      <c r="Q38" s="119"/>
      <c r="R38" s="119"/>
      <c r="S38" s="119"/>
      <c r="T38" s="119"/>
      <c r="U38" s="158"/>
      <c r="V38" s="158"/>
      <c r="W38" s="158" t="s">
        <v>83</v>
      </c>
      <c r="X38" s="158"/>
      <c r="Y38" s="158" t="s">
        <v>83</v>
      </c>
      <c r="Z38" s="158" t="s">
        <v>83</v>
      </c>
      <c r="AA38" s="158" t="s">
        <v>83</v>
      </c>
      <c r="AB38" s="211" t="s">
        <v>83</v>
      </c>
      <c r="AC38" s="211"/>
      <c r="AD38" s="211"/>
      <c r="AE38" s="212"/>
      <c r="AF38" s="129"/>
      <c r="AG38" s="129" t="s">
        <v>83</v>
      </c>
      <c r="AH38" s="128"/>
      <c r="AI38" s="52"/>
      <c r="AJ38" s="52"/>
      <c r="AK38" s="17"/>
    </row>
    <row r="39" spans="1:37" ht="15" customHeight="1">
      <c r="A39" s="56"/>
      <c r="B39" s="79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8"/>
      <c r="O39" s="119"/>
      <c r="P39" s="119"/>
      <c r="Q39" s="119"/>
      <c r="R39" s="119"/>
      <c r="S39" s="119"/>
      <c r="T39" s="119"/>
      <c r="U39" s="158"/>
      <c r="V39" s="158"/>
      <c r="W39" s="158"/>
      <c r="X39" s="159"/>
      <c r="Y39" s="158"/>
      <c r="Z39" s="158"/>
      <c r="AA39" s="158"/>
      <c r="AB39" s="212"/>
      <c r="AC39" s="211"/>
      <c r="AD39" s="212"/>
      <c r="AE39" s="211"/>
      <c r="AF39" s="128"/>
      <c r="AG39" s="128"/>
      <c r="AH39" s="128"/>
      <c r="AI39" s="52"/>
      <c r="AJ39" s="52"/>
      <c r="AK39" s="17"/>
    </row>
    <row r="40" spans="1:37" ht="15" customHeight="1">
      <c r="B40" s="96" t="s">
        <v>73</v>
      </c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4"/>
      <c r="O40" s="119"/>
      <c r="P40" s="119"/>
      <c r="Q40" s="119"/>
      <c r="R40" s="119"/>
      <c r="S40" s="119"/>
      <c r="T40" s="119"/>
      <c r="U40" s="158"/>
      <c r="V40" s="158"/>
      <c r="W40" s="158"/>
      <c r="X40" s="158"/>
      <c r="Y40" s="158"/>
      <c r="Z40" s="158"/>
      <c r="AA40" s="158"/>
      <c r="AB40" s="212"/>
      <c r="AC40" s="212"/>
      <c r="AD40" s="211"/>
      <c r="AE40" s="212"/>
      <c r="AF40" s="129"/>
      <c r="AG40" s="129"/>
      <c r="AH40" s="128"/>
      <c r="AI40" s="52"/>
      <c r="AJ40" s="52"/>
      <c r="AK40" s="53"/>
    </row>
    <row r="41" spans="1:37" ht="15" customHeight="1">
      <c r="A41" s="56"/>
      <c r="B41" s="80"/>
      <c r="C41" s="92" t="s">
        <v>74</v>
      </c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4"/>
      <c r="O41" s="119" t="s">
        <v>83</v>
      </c>
      <c r="P41" s="119" t="s">
        <v>83</v>
      </c>
      <c r="Q41" s="119" t="s">
        <v>83</v>
      </c>
      <c r="R41" s="119" t="s">
        <v>83</v>
      </c>
      <c r="S41" s="119" t="s">
        <v>83</v>
      </c>
      <c r="T41" s="119" t="s">
        <v>83</v>
      </c>
      <c r="U41" s="158" t="s">
        <v>83</v>
      </c>
      <c r="V41" s="158" t="s">
        <v>83</v>
      </c>
      <c r="W41" s="158" t="s">
        <v>83</v>
      </c>
      <c r="X41" s="158" t="s">
        <v>83</v>
      </c>
      <c r="Y41" s="158" t="s">
        <v>83</v>
      </c>
      <c r="Z41" s="158" t="s">
        <v>83</v>
      </c>
      <c r="AA41" s="158" t="s">
        <v>83</v>
      </c>
      <c r="AB41" s="211" t="s">
        <v>83</v>
      </c>
      <c r="AC41" s="211" t="s">
        <v>83</v>
      </c>
      <c r="AD41" s="211" t="s">
        <v>83</v>
      </c>
      <c r="AE41" s="211" t="s">
        <v>83</v>
      </c>
      <c r="AF41" s="129"/>
      <c r="AG41" s="129" t="s">
        <v>83</v>
      </c>
      <c r="AH41" s="129" t="s">
        <v>83</v>
      </c>
      <c r="AI41" s="52"/>
      <c r="AJ41" s="52"/>
      <c r="AK41" s="53"/>
    </row>
    <row r="42" spans="1:37" ht="15" customHeight="1">
      <c r="A42" s="56"/>
      <c r="B42" s="79"/>
      <c r="C42" s="92" t="s">
        <v>75</v>
      </c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4"/>
      <c r="O42" s="119"/>
      <c r="P42" s="119"/>
      <c r="Q42" s="119"/>
      <c r="R42" s="119"/>
      <c r="S42" s="119"/>
      <c r="T42" s="119"/>
      <c r="U42" s="158"/>
      <c r="V42" s="158"/>
      <c r="W42" s="158"/>
      <c r="X42" s="158"/>
      <c r="Y42" s="158"/>
      <c r="Z42" s="158"/>
      <c r="AA42" s="158"/>
      <c r="AB42" s="212"/>
      <c r="AC42" s="212"/>
      <c r="AD42" s="211"/>
      <c r="AE42" s="212"/>
      <c r="AF42" s="129" t="s">
        <v>83</v>
      </c>
      <c r="AG42" s="129"/>
      <c r="AH42" s="128"/>
      <c r="AI42" s="52"/>
      <c r="AJ42" s="52"/>
      <c r="AK42" s="53"/>
    </row>
    <row r="43" spans="1:37" ht="15" customHeight="1">
      <c r="A43" s="56"/>
      <c r="B43" s="96" t="s">
        <v>140</v>
      </c>
      <c r="C43" s="93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8"/>
      <c r="O43" s="119"/>
      <c r="P43" s="119"/>
      <c r="Q43" s="119"/>
      <c r="R43" s="119"/>
      <c r="S43" s="119"/>
      <c r="T43" s="119"/>
      <c r="U43" s="158"/>
      <c r="V43" s="158"/>
      <c r="W43" s="158"/>
      <c r="X43" s="158"/>
      <c r="Y43" s="158"/>
      <c r="Z43" s="158"/>
      <c r="AA43" s="158"/>
      <c r="AB43" s="212"/>
      <c r="AC43" s="212"/>
      <c r="AD43" s="211"/>
      <c r="AE43" s="211"/>
      <c r="AF43" s="128"/>
      <c r="AG43" s="128"/>
      <c r="AH43" s="128"/>
      <c r="AI43" s="52"/>
      <c r="AJ43" s="52"/>
      <c r="AK43" s="17"/>
    </row>
    <row r="44" spans="1:37" ht="15" customHeight="1">
      <c r="A44" s="56"/>
      <c r="B44" s="80"/>
      <c r="C44" s="92" t="s">
        <v>74</v>
      </c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4"/>
      <c r="O44" s="119" t="s">
        <v>83</v>
      </c>
      <c r="P44" s="119" t="s">
        <v>83</v>
      </c>
      <c r="Q44" s="119" t="s">
        <v>83</v>
      </c>
      <c r="R44" s="119" t="s">
        <v>83</v>
      </c>
      <c r="S44" s="119" t="s">
        <v>83</v>
      </c>
      <c r="T44" s="119" t="s">
        <v>83</v>
      </c>
      <c r="U44" s="158" t="s">
        <v>83</v>
      </c>
      <c r="V44" s="158" t="s">
        <v>83</v>
      </c>
      <c r="W44" s="158" t="s">
        <v>83</v>
      </c>
      <c r="X44" s="158" t="s">
        <v>83</v>
      </c>
      <c r="Y44" s="158" t="s">
        <v>83</v>
      </c>
      <c r="Z44" s="158" t="s">
        <v>83</v>
      </c>
      <c r="AA44" s="158" t="s">
        <v>83</v>
      </c>
      <c r="AB44" s="211" t="s">
        <v>83</v>
      </c>
      <c r="AC44" s="211" t="s">
        <v>83</v>
      </c>
      <c r="AD44" s="211" t="s">
        <v>83</v>
      </c>
      <c r="AE44" s="211" t="s">
        <v>83</v>
      </c>
      <c r="AF44" s="129" t="s">
        <v>83</v>
      </c>
      <c r="AG44" s="129" t="s">
        <v>83</v>
      </c>
      <c r="AH44" s="128"/>
      <c r="AI44" s="52"/>
      <c r="AJ44" s="52"/>
      <c r="AK44" s="53"/>
    </row>
    <row r="45" spans="1:37" ht="15" customHeight="1">
      <c r="A45" s="56"/>
      <c r="B45" s="79"/>
      <c r="C45" s="92" t="s">
        <v>75</v>
      </c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4"/>
      <c r="O45" s="119"/>
      <c r="P45" s="119"/>
      <c r="Q45" s="119"/>
      <c r="R45" s="119"/>
      <c r="S45" s="119"/>
      <c r="T45" s="119"/>
      <c r="U45" s="158"/>
      <c r="V45" s="158"/>
      <c r="W45" s="158"/>
      <c r="X45" s="158"/>
      <c r="Y45" s="158"/>
      <c r="Z45" s="158"/>
      <c r="AA45" s="158"/>
      <c r="AB45" s="212"/>
      <c r="AC45" s="212"/>
      <c r="AD45" s="212"/>
      <c r="AE45" s="212"/>
      <c r="AF45" s="129"/>
      <c r="AG45" s="129"/>
      <c r="AH45" s="129" t="s">
        <v>83</v>
      </c>
      <c r="AI45" s="52"/>
      <c r="AJ45" s="52"/>
      <c r="AK45" s="53"/>
    </row>
    <row r="46" spans="1:37" ht="15" customHeight="1">
      <c r="B46" s="96" t="s">
        <v>139</v>
      </c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8"/>
      <c r="O46" s="119"/>
      <c r="P46" s="119"/>
      <c r="Q46" s="119"/>
      <c r="R46" s="119"/>
      <c r="S46" s="119"/>
      <c r="T46" s="119"/>
      <c r="U46" s="158"/>
      <c r="V46" s="158"/>
      <c r="W46" s="158"/>
      <c r="X46" s="158"/>
      <c r="Y46" s="158"/>
      <c r="Z46" s="159"/>
      <c r="AA46" s="158"/>
      <c r="AB46" s="212"/>
      <c r="AC46" s="211"/>
      <c r="AD46" s="211"/>
      <c r="AE46" s="212"/>
      <c r="AF46" s="129"/>
      <c r="AG46" s="128"/>
      <c r="AH46" s="128"/>
      <c r="AI46" s="52"/>
      <c r="AJ46" s="52"/>
      <c r="AK46" s="17"/>
    </row>
    <row r="47" spans="1:37" ht="15" customHeight="1">
      <c r="B47" s="80"/>
      <c r="C47" s="92" t="s">
        <v>74</v>
      </c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4"/>
      <c r="O47" s="119" t="s">
        <v>83</v>
      </c>
      <c r="P47" s="119" t="s">
        <v>83</v>
      </c>
      <c r="Q47" s="119" t="s">
        <v>83</v>
      </c>
      <c r="R47" s="119" t="s">
        <v>83</v>
      </c>
      <c r="S47" s="119" t="s">
        <v>83</v>
      </c>
      <c r="T47" s="119" t="s">
        <v>83</v>
      </c>
      <c r="U47" s="158" t="s">
        <v>83</v>
      </c>
      <c r="V47" s="158" t="s">
        <v>83</v>
      </c>
      <c r="W47" s="158" t="s">
        <v>83</v>
      </c>
      <c r="X47" s="158" t="s">
        <v>83</v>
      </c>
      <c r="Y47" s="158" t="s">
        <v>83</v>
      </c>
      <c r="Z47" s="158" t="s">
        <v>83</v>
      </c>
      <c r="AA47" s="158" t="s">
        <v>83</v>
      </c>
      <c r="AB47" s="211" t="s">
        <v>83</v>
      </c>
      <c r="AC47" s="211" t="s">
        <v>83</v>
      </c>
      <c r="AD47" s="211" t="s">
        <v>83</v>
      </c>
      <c r="AE47" s="211" t="s">
        <v>83</v>
      </c>
      <c r="AF47" s="129" t="s">
        <v>83</v>
      </c>
      <c r="AG47" s="128"/>
      <c r="AH47" s="129" t="s">
        <v>83</v>
      </c>
      <c r="AI47" s="52"/>
      <c r="AJ47" s="52"/>
      <c r="AK47" s="17"/>
    </row>
    <row r="48" spans="1:37" ht="15" customHeight="1">
      <c r="B48" s="79"/>
      <c r="C48" s="92" t="s">
        <v>75</v>
      </c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4"/>
      <c r="O48" s="119"/>
      <c r="P48" s="119"/>
      <c r="Q48" s="119"/>
      <c r="R48" s="119"/>
      <c r="S48" s="119"/>
      <c r="T48" s="119"/>
      <c r="U48" s="158"/>
      <c r="V48" s="158"/>
      <c r="W48" s="158"/>
      <c r="X48" s="158"/>
      <c r="Y48" s="158"/>
      <c r="Z48" s="159"/>
      <c r="AA48" s="158"/>
      <c r="AB48" s="212"/>
      <c r="AC48" s="211"/>
      <c r="AD48" s="211"/>
      <c r="AE48" s="212"/>
      <c r="AF48" s="129"/>
      <c r="AG48" s="129" t="s">
        <v>83</v>
      </c>
      <c r="AH48" s="128"/>
      <c r="AI48" s="52"/>
      <c r="AJ48" s="52"/>
      <c r="AK48" s="17"/>
    </row>
    <row r="49" spans="1:37" ht="15" customHeight="1">
      <c r="A49" s="103"/>
      <c r="B49" s="79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2"/>
      <c r="O49" s="119"/>
      <c r="P49" s="119"/>
      <c r="Q49" s="119"/>
      <c r="R49" s="119"/>
      <c r="S49" s="119"/>
      <c r="T49" s="119"/>
      <c r="U49" s="158"/>
      <c r="V49" s="158"/>
      <c r="W49" s="158"/>
      <c r="X49" s="158"/>
      <c r="Y49" s="158"/>
      <c r="Z49" s="158"/>
      <c r="AA49" s="158"/>
      <c r="AB49" s="212"/>
      <c r="AC49" s="212"/>
      <c r="AD49" s="212"/>
      <c r="AE49" s="212"/>
      <c r="AF49" s="129"/>
      <c r="AG49" s="129"/>
      <c r="AH49" s="129"/>
      <c r="AI49" s="52"/>
      <c r="AJ49" s="52"/>
      <c r="AK49" s="53"/>
    </row>
    <row r="50" spans="1:37" ht="15" customHeight="1">
      <c r="A50" s="56"/>
      <c r="B50" s="80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8"/>
      <c r="O50" s="119"/>
      <c r="P50" s="119"/>
      <c r="Q50" s="119"/>
      <c r="R50" s="119"/>
      <c r="S50" s="119"/>
      <c r="T50" s="119"/>
      <c r="U50" s="158"/>
      <c r="V50" s="158"/>
      <c r="W50" s="158"/>
      <c r="X50" s="158"/>
      <c r="Y50" s="158"/>
      <c r="Z50" s="159"/>
      <c r="AA50" s="158"/>
      <c r="AB50" s="212"/>
      <c r="AC50" s="211"/>
      <c r="AD50" s="211"/>
      <c r="AE50" s="212"/>
      <c r="AF50" s="129"/>
      <c r="AG50" s="128"/>
      <c r="AH50" s="128"/>
      <c r="AI50" s="52"/>
      <c r="AJ50" s="52"/>
      <c r="AK50" s="17"/>
    </row>
    <row r="51" spans="1:37" ht="15" customHeight="1">
      <c r="A51" s="56" t="s">
        <v>130</v>
      </c>
      <c r="B51" s="92" t="s">
        <v>149</v>
      </c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53"/>
      <c r="O51" s="119" t="s">
        <v>83</v>
      </c>
      <c r="P51" s="119" t="s">
        <v>83</v>
      </c>
      <c r="Q51" s="119" t="s">
        <v>83</v>
      </c>
      <c r="R51" s="119" t="s">
        <v>83</v>
      </c>
      <c r="S51" s="119" t="s">
        <v>83</v>
      </c>
      <c r="T51" s="119" t="s">
        <v>83</v>
      </c>
      <c r="U51" s="158" t="s">
        <v>83</v>
      </c>
      <c r="V51" s="158" t="s">
        <v>83</v>
      </c>
      <c r="W51" s="158" t="s">
        <v>83</v>
      </c>
      <c r="X51" s="158" t="s">
        <v>83</v>
      </c>
      <c r="Y51" s="158" t="s">
        <v>83</v>
      </c>
      <c r="Z51" s="158" t="s">
        <v>83</v>
      </c>
      <c r="AA51" s="158" t="s">
        <v>83</v>
      </c>
      <c r="AB51" s="211" t="s">
        <v>83</v>
      </c>
      <c r="AC51" s="211" t="s">
        <v>83</v>
      </c>
      <c r="AD51" s="211" t="s">
        <v>83</v>
      </c>
      <c r="AE51" s="211" t="s">
        <v>83</v>
      </c>
      <c r="AF51" s="129"/>
      <c r="AG51" s="128"/>
      <c r="AH51" s="128"/>
      <c r="AI51" s="52"/>
      <c r="AJ51" s="52"/>
      <c r="AK51" s="17"/>
    </row>
    <row r="52" spans="1:37" ht="15" customHeight="1">
      <c r="A52" s="152" t="s">
        <v>131</v>
      </c>
      <c r="B52" s="80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8"/>
      <c r="O52" s="119"/>
      <c r="P52" s="119"/>
      <c r="Q52" s="119"/>
      <c r="R52" s="119"/>
      <c r="S52" s="119"/>
      <c r="T52" s="119"/>
      <c r="U52" s="158"/>
      <c r="V52" s="158"/>
      <c r="W52" s="158"/>
      <c r="X52" s="158"/>
      <c r="Y52" s="158"/>
      <c r="Z52" s="158"/>
      <c r="AA52" s="158"/>
      <c r="AB52" s="212"/>
      <c r="AC52" s="212"/>
      <c r="AD52" s="211"/>
      <c r="AE52" s="211"/>
      <c r="AF52" s="128"/>
      <c r="AG52" s="128"/>
      <c r="AH52" s="128"/>
      <c r="AI52" s="52"/>
      <c r="AJ52" s="52"/>
      <c r="AK52" s="17"/>
    </row>
    <row r="53" spans="1:37" ht="15" customHeight="1">
      <c r="A53" s="56" t="s">
        <v>120</v>
      </c>
      <c r="B53" s="96" t="s">
        <v>143</v>
      </c>
      <c r="C53" s="101"/>
      <c r="D53" s="101"/>
      <c r="E53" s="93"/>
      <c r="F53" s="93"/>
      <c r="G53" s="93"/>
      <c r="H53" s="93"/>
      <c r="I53" s="93"/>
      <c r="J53" s="93"/>
      <c r="K53" s="93"/>
      <c r="L53" s="93"/>
      <c r="M53" s="93"/>
      <c r="N53" s="94"/>
      <c r="O53" s="119"/>
      <c r="P53" s="119"/>
      <c r="Q53" s="119"/>
      <c r="R53" s="119"/>
      <c r="S53" s="119"/>
      <c r="T53" s="119"/>
      <c r="U53" s="158"/>
      <c r="V53" s="158"/>
      <c r="W53" s="158"/>
      <c r="X53" s="158"/>
      <c r="Y53" s="158"/>
      <c r="Z53" s="159"/>
      <c r="AA53" s="158"/>
      <c r="AB53" s="212"/>
      <c r="AC53" s="211"/>
      <c r="AD53" s="211"/>
      <c r="AE53" s="212"/>
      <c r="AF53" s="129"/>
      <c r="AG53" s="128"/>
      <c r="AH53" s="128"/>
      <c r="AI53" s="52"/>
      <c r="AJ53" s="52"/>
      <c r="AK53" s="17"/>
    </row>
    <row r="54" spans="1:37" ht="15" customHeight="1">
      <c r="A54" s="152" t="s">
        <v>150</v>
      </c>
      <c r="B54" s="80"/>
      <c r="C54" s="154" t="s">
        <v>144</v>
      </c>
      <c r="D54" s="155"/>
      <c r="E54" s="155"/>
      <c r="F54" s="155"/>
      <c r="G54" s="155"/>
      <c r="H54" s="155"/>
      <c r="I54" s="155"/>
      <c r="J54" s="155"/>
      <c r="K54" s="155"/>
      <c r="L54" s="155"/>
      <c r="M54" s="155"/>
      <c r="N54" s="156"/>
      <c r="O54" s="119"/>
      <c r="P54" s="119"/>
      <c r="Q54" s="119"/>
      <c r="R54" s="119"/>
      <c r="S54" s="119"/>
      <c r="T54" s="119"/>
      <c r="U54" s="158"/>
      <c r="V54" s="158"/>
      <c r="W54" s="158"/>
      <c r="X54" s="158"/>
      <c r="Y54" s="158"/>
      <c r="Z54" s="159"/>
      <c r="AA54" s="159"/>
      <c r="AB54" s="211"/>
      <c r="AC54" s="211"/>
      <c r="AD54" s="211"/>
      <c r="AE54" s="211"/>
      <c r="AF54" s="128"/>
      <c r="AG54" s="128"/>
      <c r="AH54" s="128"/>
      <c r="AI54" s="52"/>
      <c r="AJ54" s="52"/>
      <c r="AK54" s="17"/>
    </row>
    <row r="55" spans="1:37" ht="15" customHeight="1">
      <c r="A55" s="56"/>
      <c r="B55" s="80"/>
      <c r="C55" s="80"/>
      <c r="D55" s="92" t="s">
        <v>145</v>
      </c>
      <c r="E55" s="93"/>
      <c r="F55" s="93"/>
      <c r="G55" s="93"/>
      <c r="H55" s="93"/>
      <c r="I55" s="93"/>
      <c r="J55" s="93"/>
      <c r="K55" s="93"/>
      <c r="L55" s="93"/>
      <c r="M55" s="93"/>
      <c r="N55" s="94"/>
      <c r="O55" s="119"/>
      <c r="P55" s="119"/>
      <c r="Q55" s="119"/>
      <c r="R55" s="119"/>
      <c r="S55" s="119"/>
      <c r="T55" s="119"/>
      <c r="U55" s="158"/>
      <c r="V55" s="158"/>
      <c r="W55" s="158"/>
      <c r="X55" s="158"/>
      <c r="Y55" s="158"/>
      <c r="Z55" s="158"/>
      <c r="AA55" s="158"/>
      <c r="AB55" s="212"/>
      <c r="AC55" s="212"/>
      <c r="AD55" s="211"/>
      <c r="AE55" s="211"/>
      <c r="AF55" s="129" t="s">
        <v>83</v>
      </c>
      <c r="AG55" s="128"/>
      <c r="AH55" s="128"/>
      <c r="AI55" s="52"/>
      <c r="AJ55" s="52"/>
      <c r="AK55" s="17"/>
    </row>
    <row r="56" spans="1:37" ht="15" customHeight="1">
      <c r="A56" s="56"/>
      <c r="B56" s="80"/>
      <c r="C56" s="80"/>
      <c r="D56" s="92" t="s">
        <v>146</v>
      </c>
      <c r="E56" s="93"/>
      <c r="F56" s="93"/>
      <c r="G56" s="93"/>
      <c r="H56" s="93"/>
      <c r="I56" s="93"/>
      <c r="J56" s="93"/>
      <c r="K56" s="93"/>
      <c r="L56" s="93"/>
      <c r="M56" s="93"/>
      <c r="N56" s="94"/>
      <c r="O56" s="119"/>
      <c r="P56" s="119"/>
      <c r="Q56" s="119"/>
      <c r="R56" s="119"/>
      <c r="S56" s="119"/>
      <c r="T56" s="119"/>
      <c r="U56" s="158"/>
      <c r="V56" s="158"/>
      <c r="W56" s="158"/>
      <c r="X56" s="158"/>
      <c r="Y56" s="158"/>
      <c r="Z56" s="158"/>
      <c r="AA56" s="158"/>
      <c r="AB56" s="212"/>
      <c r="AC56" s="212"/>
      <c r="AD56" s="211"/>
      <c r="AE56" s="211"/>
      <c r="AF56" s="128"/>
      <c r="AG56" s="129" t="s">
        <v>83</v>
      </c>
      <c r="AH56" s="128"/>
      <c r="AI56" s="52"/>
      <c r="AJ56" s="52"/>
      <c r="AK56" s="17"/>
    </row>
    <row r="57" spans="1:37" ht="15" customHeight="1">
      <c r="A57" s="56"/>
      <c r="B57" s="80"/>
      <c r="C57" s="80"/>
      <c r="D57" s="92" t="s">
        <v>147</v>
      </c>
      <c r="E57" s="93"/>
      <c r="F57" s="93"/>
      <c r="G57" s="93"/>
      <c r="H57" s="93"/>
      <c r="I57" s="93"/>
      <c r="J57" s="93"/>
      <c r="K57" s="93"/>
      <c r="L57" s="93"/>
      <c r="M57" s="93"/>
      <c r="N57" s="94"/>
      <c r="O57" s="119"/>
      <c r="P57" s="119"/>
      <c r="Q57" s="119"/>
      <c r="R57" s="119"/>
      <c r="S57" s="119"/>
      <c r="T57" s="119"/>
      <c r="U57" s="158"/>
      <c r="V57" s="158"/>
      <c r="W57" s="158"/>
      <c r="X57" s="158"/>
      <c r="Y57" s="158"/>
      <c r="Z57" s="158"/>
      <c r="AA57" s="158"/>
      <c r="AB57" s="212"/>
      <c r="AC57" s="211"/>
      <c r="AD57" s="212"/>
      <c r="AE57" s="211"/>
      <c r="AF57" s="128"/>
      <c r="AG57" s="128"/>
      <c r="AH57" s="129" t="s">
        <v>83</v>
      </c>
      <c r="AI57" s="52"/>
      <c r="AJ57" s="52"/>
      <c r="AK57" s="17"/>
    </row>
    <row r="58" spans="1:37" ht="15" customHeight="1">
      <c r="A58" s="56"/>
      <c r="B58" s="79"/>
      <c r="C58" s="79"/>
      <c r="D58" s="92" t="s">
        <v>148</v>
      </c>
      <c r="E58" s="93"/>
      <c r="F58" s="93"/>
      <c r="G58" s="93"/>
      <c r="H58" s="93"/>
      <c r="I58" s="93"/>
      <c r="J58" s="93"/>
      <c r="K58" s="93"/>
      <c r="L58" s="93"/>
      <c r="M58" s="93"/>
      <c r="N58" s="94"/>
      <c r="O58" s="119" t="s">
        <v>83</v>
      </c>
      <c r="P58" s="119" t="s">
        <v>83</v>
      </c>
      <c r="Q58" s="119" t="s">
        <v>83</v>
      </c>
      <c r="R58" s="119" t="s">
        <v>83</v>
      </c>
      <c r="S58" s="119" t="s">
        <v>83</v>
      </c>
      <c r="T58" s="119" t="s">
        <v>83</v>
      </c>
      <c r="U58" s="158" t="s">
        <v>83</v>
      </c>
      <c r="V58" s="158" t="s">
        <v>83</v>
      </c>
      <c r="W58" s="158" t="s">
        <v>83</v>
      </c>
      <c r="X58" s="158" t="s">
        <v>83</v>
      </c>
      <c r="Y58" s="158" t="s">
        <v>83</v>
      </c>
      <c r="Z58" s="158" t="s">
        <v>83</v>
      </c>
      <c r="AA58" s="158" t="s">
        <v>83</v>
      </c>
      <c r="AB58" s="211" t="s">
        <v>83</v>
      </c>
      <c r="AC58" s="211" t="s">
        <v>83</v>
      </c>
      <c r="AD58" s="211" t="s">
        <v>83</v>
      </c>
      <c r="AE58" s="211" t="s">
        <v>83</v>
      </c>
      <c r="AF58" s="128"/>
      <c r="AG58" s="128"/>
      <c r="AH58" s="128"/>
      <c r="AI58" s="52"/>
      <c r="AJ58" s="52"/>
      <c r="AK58" s="17"/>
    </row>
    <row r="59" spans="1:37" ht="15" customHeight="1">
      <c r="A59" s="56"/>
      <c r="B59" s="80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8"/>
      <c r="O59" s="119"/>
      <c r="P59" s="119"/>
      <c r="Q59" s="118"/>
      <c r="R59" s="118"/>
      <c r="S59" s="119"/>
      <c r="T59" s="119"/>
      <c r="U59" s="158"/>
      <c r="V59" s="158"/>
      <c r="W59" s="159"/>
      <c r="X59" s="159"/>
      <c r="Y59" s="158"/>
      <c r="Z59" s="158"/>
      <c r="AA59" s="158"/>
      <c r="AB59" s="212"/>
      <c r="AC59" s="212"/>
      <c r="AD59" s="211"/>
      <c r="AE59" s="212"/>
      <c r="AF59" s="129"/>
      <c r="AG59" s="129"/>
      <c r="AH59" s="128"/>
      <c r="AI59" s="52"/>
      <c r="AJ59" s="52"/>
      <c r="AK59" s="53"/>
    </row>
    <row r="60" spans="1:37" ht="15" customHeight="1">
      <c r="A60" s="56"/>
      <c r="B60" s="96" t="s">
        <v>142</v>
      </c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4"/>
      <c r="O60" s="119"/>
      <c r="P60" s="119"/>
      <c r="Q60" s="119"/>
      <c r="R60" s="119"/>
      <c r="S60" s="119"/>
      <c r="T60" s="119"/>
      <c r="U60" s="158"/>
      <c r="V60" s="158"/>
      <c r="W60" s="158"/>
      <c r="X60" s="158"/>
      <c r="Y60" s="158"/>
      <c r="Z60" s="158"/>
      <c r="AA60" s="158"/>
      <c r="AB60" s="212"/>
      <c r="AC60" s="211"/>
      <c r="AD60" s="211"/>
      <c r="AE60" s="212"/>
      <c r="AF60" s="129"/>
      <c r="AG60" s="128"/>
      <c r="AH60" s="128"/>
      <c r="AI60" s="52"/>
      <c r="AJ60" s="52"/>
      <c r="AK60" s="17"/>
    </row>
    <row r="61" spans="1:37" ht="15" customHeight="1">
      <c r="A61" s="104"/>
      <c r="B61" s="79"/>
      <c r="C61" s="92" t="s">
        <v>141</v>
      </c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4"/>
      <c r="O61" s="119" t="s">
        <v>83</v>
      </c>
      <c r="P61" s="119" t="s">
        <v>83</v>
      </c>
      <c r="Q61" s="119" t="s">
        <v>83</v>
      </c>
      <c r="R61" s="119" t="s">
        <v>83</v>
      </c>
      <c r="S61" s="119" t="s">
        <v>83</v>
      </c>
      <c r="T61" s="119" t="s">
        <v>83</v>
      </c>
      <c r="U61" s="158" t="s">
        <v>83</v>
      </c>
      <c r="V61" s="158" t="s">
        <v>83</v>
      </c>
      <c r="W61" s="158" t="s">
        <v>83</v>
      </c>
      <c r="X61" s="158" t="s">
        <v>83</v>
      </c>
      <c r="Y61" s="158" t="s">
        <v>83</v>
      </c>
      <c r="Z61" s="158" t="s">
        <v>83</v>
      </c>
      <c r="AA61" s="158" t="s">
        <v>83</v>
      </c>
      <c r="AB61" s="211" t="s">
        <v>83</v>
      </c>
      <c r="AC61" s="211" t="s">
        <v>83</v>
      </c>
      <c r="AD61" s="211" t="s">
        <v>83</v>
      </c>
      <c r="AE61" s="211" t="s">
        <v>83</v>
      </c>
      <c r="AF61" s="129" t="s">
        <v>83</v>
      </c>
      <c r="AG61" s="129" t="s">
        <v>83</v>
      </c>
      <c r="AH61" s="129" t="s">
        <v>83</v>
      </c>
      <c r="AI61" s="52"/>
      <c r="AJ61" s="52"/>
      <c r="AK61" s="17"/>
    </row>
    <row r="62" spans="1:37" ht="15" customHeight="1">
      <c r="A62" s="56"/>
      <c r="B62" s="79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2"/>
      <c r="O62" s="119"/>
      <c r="P62" s="119"/>
      <c r="Q62" s="119"/>
      <c r="R62" s="119"/>
      <c r="S62" s="119"/>
      <c r="T62" s="119"/>
      <c r="U62" s="158"/>
      <c r="V62" s="158"/>
      <c r="W62" s="158"/>
      <c r="X62" s="158"/>
      <c r="Y62" s="158"/>
      <c r="Z62" s="158"/>
      <c r="AA62" s="158"/>
      <c r="AB62" s="212"/>
      <c r="AC62" s="212"/>
      <c r="AD62" s="211"/>
      <c r="AE62" s="211"/>
      <c r="AF62" s="128"/>
      <c r="AG62" s="128"/>
      <c r="AH62" s="128"/>
      <c r="AI62" s="52"/>
      <c r="AJ62" s="52"/>
      <c r="AK62" s="17"/>
    </row>
    <row r="63" spans="1:37" ht="15" customHeight="1">
      <c r="A63" s="10"/>
      <c r="C63" s="19"/>
      <c r="D63" s="184" t="s">
        <v>48</v>
      </c>
      <c r="E63" s="185"/>
      <c r="F63" s="185"/>
      <c r="G63" s="185"/>
      <c r="H63" s="185"/>
      <c r="I63" s="186"/>
      <c r="J63" s="59"/>
      <c r="N63" s="20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2"/>
    </row>
    <row r="64" spans="1:37" ht="15" customHeight="1">
      <c r="A64" s="60"/>
      <c r="B64" s="61"/>
      <c r="C64" s="62"/>
      <c r="D64" s="184"/>
      <c r="E64" s="185"/>
      <c r="F64" s="185"/>
      <c r="G64" s="185"/>
      <c r="H64" s="185"/>
      <c r="I64" s="186"/>
      <c r="J64" s="13"/>
      <c r="K64" s="14"/>
      <c r="L64" s="14"/>
      <c r="M64" s="14"/>
      <c r="N64" s="15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7"/>
    </row>
    <row r="65" spans="1:37" ht="15" customHeight="1">
      <c r="A65" s="18"/>
      <c r="C65" s="19"/>
      <c r="D65" s="184"/>
      <c r="E65" s="185"/>
      <c r="F65" s="185"/>
      <c r="G65" s="185"/>
      <c r="H65" s="185"/>
      <c r="I65" s="186"/>
      <c r="M65" s="19"/>
      <c r="N65" s="20"/>
      <c r="O65" s="68" t="str">
        <f t="shared" ref="O65:AK65" si="0">IF(O66&lt;&gt;"",MONTH(O66),"")</f>
        <v/>
      </c>
      <c r="P65" s="68" t="str">
        <f t="shared" si="0"/>
        <v/>
      </c>
      <c r="Q65" s="68" t="str">
        <f t="shared" si="0"/>
        <v/>
      </c>
      <c r="R65" s="68" t="str">
        <f t="shared" si="0"/>
        <v/>
      </c>
      <c r="S65" s="68" t="str">
        <f t="shared" si="0"/>
        <v/>
      </c>
      <c r="T65" s="68" t="str">
        <f t="shared" si="0"/>
        <v/>
      </c>
      <c r="U65" s="68" t="str">
        <f t="shared" si="0"/>
        <v/>
      </c>
      <c r="V65" s="68" t="str">
        <f t="shared" si="0"/>
        <v/>
      </c>
      <c r="W65" s="68" t="str">
        <f t="shared" si="0"/>
        <v/>
      </c>
      <c r="X65" s="68" t="str">
        <f t="shared" si="0"/>
        <v/>
      </c>
      <c r="Y65" s="68" t="str">
        <f t="shared" si="0"/>
        <v/>
      </c>
      <c r="Z65" s="68" t="str">
        <f t="shared" si="0"/>
        <v/>
      </c>
      <c r="AA65" s="68" t="str">
        <f t="shared" si="0"/>
        <v/>
      </c>
      <c r="AB65" s="68" t="str">
        <f t="shared" si="0"/>
        <v/>
      </c>
      <c r="AC65" s="68" t="str">
        <f t="shared" si="0"/>
        <v/>
      </c>
      <c r="AD65" s="68" t="str">
        <f t="shared" si="0"/>
        <v/>
      </c>
      <c r="AE65" s="68" t="str">
        <f t="shared" si="0"/>
        <v/>
      </c>
      <c r="AF65" s="68" t="str">
        <f t="shared" si="0"/>
        <v/>
      </c>
      <c r="AG65" s="68" t="str">
        <f t="shared" si="0"/>
        <v/>
      </c>
      <c r="AH65" s="68" t="str">
        <f t="shared" si="0"/>
        <v/>
      </c>
      <c r="AI65" s="68" t="str">
        <f t="shared" si="0"/>
        <v/>
      </c>
      <c r="AJ65" s="68" t="str">
        <f t="shared" si="0"/>
        <v/>
      </c>
      <c r="AK65" s="69" t="str">
        <f t="shared" si="0"/>
        <v/>
      </c>
    </row>
    <row r="66" spans="1:37" ht="15" customHeight="1">
      <c r="A66" s="21"/>
      <c r="B66" s="14"/>
      <c r="C66" s="22"/>
      <c r="D66" s="187"/>
      <c r="E66" s="188"/>
      <c r="F66" s="188"/>
      <c r="G66" s="188"/>
      <c r="H66" s="188"/>
      <c r="I66" s="189"/>
      <c r="M66" s="19"/>
      <c r="N66" s="15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1"/>
    </row>
    <row r="67" spans="1:37" ht="15" customHeight="1">
      <c r="A67" s="167" t="s">
        <v>43</v>
      </c>
      <c r="B67" s="168"/>
      <c r="C67" s="169"/>
      <c r="D67" s="177"/>
      <c r="E67" s="175"/>
      <c r="F67" s="175"/>
      <c r="G67" s="175"/>
      <c r="H67" s="175"/>
      <c r="I67" s="176"/>
      <c r="M67" s="19"/>
      <c r="N67" s="20"/>
      <c r="O67" s="68" t="str">
        <f t="shared" ref="O67:AK67" si="1">IF(O68&lt;&gt;"",MONTH(O68),"")</f>
        <v/>
      </c>
      <c r="P67" s="68" t="str">
        <f t="shared" si="1"/>
        <v/>
      </c>
      <c r="Q67" s="68" t="str">
        <f t="shared" si="1"/>
        <v/>
      </c>
      <c r="R67" s="68" t="str">
        <f t="shared" si="1"/>
        <v/>
      </c>
      <c r="S67" s="68" t="str">
        <f t="shared" si="1"/>
        <v/>
      </c>
      <c r="T67" s="68" t="str">
        <f t="shared" si="1"/>
        <v/>
      </c>
      <c r="U67" s="68" t="str">
        <f t="shared" si="1"/>
        <v/>
      </c>
      <c r="V67" s="68" t="str">
        <f t="shared" si="1"/>
        <v/>
      </c>
      <c r="W67" s="68" t="str">
        <f t="shared" si="1"/>
        <v/>
      </c>
      <c r="X67" s="68" t="str">
        <f t="shared" si="1"/>
        <v/>
      </c>
      <c r="Y67" s="68" t="str">
        <f t="shared" si="1"/>
        <v/>
      </c>
      <c r="Z67" s="68" t="str">
        <f t="shared" si="1"/>
        <v/>
      </c>
      <c r="AA67" s="68" t="str">
        <f t="shared" si="1"/>
        <v/>
      </c>
      <c r="AB67" s="68" t="str">
        <f t="shared" si="1"/>
        <v/>
      </c>
      <c r="AC67" s="68" t="str">
        <f t="shared" si="1"/>
        <v/>
      </c>
      <c r="AD67" s="68" t="str">
        <f t="shared" si="1"/>
        <v/>
      </c>
      <c r="AE67" s="68" t="str">
        <f t="shared" si="1"/>
        <v/>
      </c>
      <c r="AF67" s="68" t="str">
        <f t="shared" si="1"/>
        <v/>
      </c>
      <c r="AG67" s="68" t="str">
        <f t="shared" si="1"/>
        <v/>
      </c>
      <c r="AH67" s="68" t="str">
        <f t="shared" si="1"/>
        <v/>
      </c>
      <c r="AI67" s="68" t="str">
        <f t="shared" si="1"/>
        <v/>
      </c>
      <c r="AJ67" s="68" t="str">
        <f t="shared" si="1"/>
        <v/>
      </c>
      <c r="AK67" s="69" t="str">
        <f t="shared" si="1"/>
        <v/>
      </c>
    </row>
    <row r="68" spans="1:37" ht="15" customHeight="1">
      <c r="A68" s="167" t="s">
        <v>44</v>
      </c>
      <c r="B68" s="168"/>
      <c r="C68" s="169"/>
      <c r="D68" s="190"/>
      <c r="E68" s="191"/>
      <c r="F68" s="191"/>
      <c r="G68" s="191"/>
      <c r="H68" s="191"/>
      <c r="I68" s="192"/>
      <c r="J68" s="14"/>
      <c r="K68" s="14"/>
      <c r="L68" s="14"/>
      <c r="M68" s="22"/>
      <c r="N68" s="15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3"/>
    </row>
    <row r="69" spans="1:37" ht="15" customHeight="1">
      <c r="A69" s="167" t="s">
        <v>16</v>
      </c>
      <c r="B69" s="168"/>
      <c r="C69" s="169"/>
      <c r="D69" s="170"/>
      <c r="E69" s="171"/>
      <c r="F69" s="171"/>
      <c r="G69" s="171"/>
      <c r="H69" s="171"/>
      <c r="I69" s="172"/>
      <c r="J69" s="14"/>
      <c r="K69" s="14"/>
      <c r="L69" s="14"/>
      <c r="M69" s="23" t="s">
        <v>17</v>
      </c>
      <c r="N69" s="15"/>
      <c r="O69" s="16" t="s">
        <v>45</v>
      </c>
      <c r="P69" s="16" t="s">
        <v>45</v>
      </c>
      <c r="Q69" s="16" t="s">
        <v>45</v>
      </c>
      <c r="R69" s="16" t="s">
        <v>45</v>
      </c>
      <c r="S69" s="16" t="s">
        <v>45</v>
      </c>
      <c r="T69" s="16" t="s">
        <v>45</v>
      </c>
      <c r="U69" s="16" t="s">
        <v>45</v>
      </c>
      <c r="V69" s="16" t="s">
        <v>45</v>
      </c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7"/>
    </row>
    <row r="70" spans="1:37" ht="15" customHeight="1">
      <c r="A70" s="167" t="s">
        <v>18</v>
      </c>
      <c r="B70" s="168"/>
      <c r="C70" s="169"/>
      <c r="D70" s="173"/>
      <c r="E70" s="168"/>
      <c r="F70" s="168"/>
      <c r="G70" s="168"/>
      <c r="H70" s="168"/>
      <c r="I70" s="169"/>
      <c r="J70" s="14"/>
      <c r="K70" s="14"/>
      <c r="L70" s="14"/>
      <c r="M70" s="23" t="s">
        <v>19</v>
      </c>
      <c r="N70" s="15"/>
      <c r="O70" s="16" t="s">
        <v>46</v>
      </c>
      <c r="P70" s="16" t="s">
        <v>46</v>
      </c>
      <c r="Q70" s="16" t="s">
        <v>46</v>
      </c>
      <c r="R70" s="16" t="s">
        <v>46</v>
      </c>
      <c r="S70" s="16" t="s">
        <v>46</v>
      </c>
      <c r="T70" s="16" t="s">
        <v>46</v>
      </c>
      <c r="U70" s="16" t="s">
        <v>46</v>
      </c>
      <c r="V70" s="16" t="s">
        <v>46</v>
      </c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7"/>
    </row>
    <row r="71" spans="1:37" ht="15" customHeight="1">
      <c r="A71" s="174" t="s">
        <v>20</v>
      </c>
      <c r="B71" s="175"/>
      <c r="C71" s="176"/>
      <c r="D71" s="177" t="s">
        <v>21</v>
      </c>
      <c r="E71" s="175"/>
      <c r="F71" s="175"/>
      <c r="G71" s="175"/>
      <c r="H71" s="175"/>
      <c r="I71" s="176"/>
      <c r="N71" s="20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2"/>
    </row>
    <row r="72" spans="1:37" ht="15" customHeight="1">
      <c r="A72" s="18"/>
      <c r="C72" s="19"/>
      <c r="E72" s="88" t="s">
        <v>22</v>
      </c>
      <c r="H72" s="88" t="s">
        <v>23</v>
      </c>
      <c r="I72" s="19"/>
      <c r="M72" s="88" t="s">
        <v>24</v>
      </c>
      <c r="N72" s="20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2"/>
    </row>
    <row r="73" spans="1:37" ht="15" customHeight="1">
      <c r="A73" s="18"/>
      <c r="C73" s="19"/>
      <c r="I73" s="19"/>
      <c r="J73" s="14"/>
      <c r="K73" s="14"/>
      <c r="L73" s="14"/>
      <c r="M73" s="14"/>
      <c r="N73" s="15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7"/>
    </row>
    <row r="74" spans="1:37" ht="15" customHeight="1">
      <c r="A74" s="161" t="s">
        <v>47</v>
      </c>
      <c r="B74" s="162"/>
      <c r="C74" s="163"/>
      <c r="I74" s="19"/>
      <c r="N74" s="20"/>
      <c r="O74" s="5" t="s">
        <v>40</v>
      </c>
      <c r="P74" s="25"/>
      <c r="Q74" s="25"/>
      <c r="R74" s="25"/>
      <c r="S74" s="25"/>
      <c r="T74" s="25"/>
      <c r="V74" s="19"/>
      <c r="AA74" s="19"/>
      <c r="AF74" s="39" t="s">
        <v>2</v>
      </c>
      <c r="AG74" s="36">
        <f>COUNTIF(O69:AK69,"A")</f>
        <v>8</v>
      </c>
      <c r="AH74" s="40" t="s">
        <v>3</v>
      </c>
      <c r="AI74" s="36">
        <f>COUNTIF(O69:AK69,"B")</f>
        <v>0</v>
      </c>
      <c r="AJ74" s="40" t="s">
        <v>4</v>
      </c>
      <c r="AK74" s="34">
        <f>COUNTIF(O69:AK69,"C")</f>
        <v>0</v>
      </c>
    </row>
    <row r="75" spans="1:37" ht="15" customHeight="1">
      <c r="A75" s="18"/>
      <c r="C75" s="19"/>
      <c r="I75" s="19"/>
      <c r="K75" s="1"/>
      <c r="L75" s="1"/>
      <c r="M75" s="1"/>
      <c r="N75" s="54"/>
      <c r="O75" s="5" t="s">
        <v>41</v>
      </c>
      <c r="Q75" s="26"/>
      <c r="V75" s="19"/>
      <c r="Y75" s="88" t="s">
        <v>25</v>
      </c>
      <c r="AA75" s="19"/>
      <c r="AB75" s="45"/>
      <c r="AC75" s="44">
        <v>1</v>
      </c>
      <c r="AD75" s="33"/>
      <c r="AE75" s="44">
        <v>1</v>
      </c>
      <c r="AF75" s="41" t="s">
        <v>5</v>
      </c>
      <c r="AG75" s="37">
        <f>COUNTIF(M70:AI70,"N")</f>
        <v>8</v>
      </c>
      <c r="AH75" s="42" t="s">
        <v>2</v>
      </c>
      <c r="AI75" s="37">
        <f>COUNTIF(O70:AK70,"A")</f>
        <v>0</v>
      </c>
      <c r="AJ75" s="42" t="s">
        <v>3</v>
      </c>
      <c r="AK75" s="35">
        <f>COUNTIF(O70:AK70,"B")</f>
        <v>0</v>
      </c>
    </row>
    <row r="76" spans="1:37" ht="15" customHeight="1" thickBot="1">
      <c r="A76" s="85"/>
      <c r="B76" s="89"/>
      <c r="C76" s="90"/>
      <c r="D76" s="164"/>
      <c r="E76" s="165"/>
      <c r="F76" s="165"/>
      <c r="G76" s="165"/>
      <c r="H76" s="165"/>
      <c r="I76" s="166"/>
      <c r="J76" s="28"/>
      <c r="K76" s="63"/>
      <c r="L76" s="63"/>
      <c r="M76" s="63"/>
      <c r="N76" s="29"/>
      <c r="O76" s="28"/>
      <c r="P76" s="28"/>
      <c r="Q76" s="28"/>
      <c r="R76" s="28"/>
      <c r="S76" s="28"/>
      <c r="T76" s="28"/>
      <c r="U76" s="28"/>
      <c r="V76" s="27"/>
      <c r="W76" s="28"/>
      <c r="X76" s="28"/>
      <c r="Y76" s="28"/>
      <c r="Z76" s="28"/>
      <c r="AA76" s="27"/>
      <c r="AB76" s="28"/>
      <c r="AC76" s="28"/>
      <c r="AD76" s="28"/>
      <c r="AE76" s="28"/>
      <c r="AF76" s="32" t="s">
        <v>6</v>
      </c>
      <c r="AG76" s="28"/>
      <c r="AH76" s="38"/>
      <c r="AI76" s="43">
        <f>SUM(AF74:AK74)</f>
        <v>8</v>
      </c>
      <c r="AJ76" s="28"/>
      <c r="AK76" s="30"/>
    </row>
  </sheetData>
  <mergeCells count="20">
    <mergeCell ref="C30:N30"/>
    <mergeCell ref="C31:N31"/>
    <mergeCell ref="C34:N34"/>
    <mergeCell ref="C39:N39"/>
    <mergeCell ref="D63:I66"/>
    <mergeCell ref="C38:N38"/>
    <mergeCell ref="C36:N36"/>
    <mergeCell ref="D76:F76"/>
    <mergeCell ref="G76:I76"/>
    <mergeCell ref="A67:C67"/>
    <mergeCell ref="D67:I67"/>
    <mergeCell ref="A68:C68"/>
    <mergeCell ref="D68:I68"/>
    <mergeCell ref="A69:C69"/>
    <mergeCell ref="D69:I69"/>
    <mergeCell ref="A70:C70"/>
    <mergeCell ref="D70:I70"/>
    <mergeCell ref="A71:C71"/>
    <mergeCell ref="D71:I71"/>
    <mergeCell ref="A74:C74"/>
  </mergeCells>
  <phoneticPr fontId="16"/>
  <printOptions verticalCentered="1" gridLinesSet="0"/>
  <pageMargins left="0.59055118110236227" right="0.31496062992125984" top="0.39370078740157483" bottom="0.39370078740157483" header="0.51181102362204722" footer="0.39370078740157483"/>
  <pageSetup paperSize="9" scale="74" orientation="portrait" horizontalDpi="4294967292" verticalDpi="4294967292" r:id="rId1"/>
  <headerFooter alignWithMargins="0">
    <oddFooter>&amp;R&amp;"ＭＳ 明朝,斜体"&amp;8All Rights Reserved,Copy Right 2002,Hitachi Software Engineering Co.,Ltd.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7617" r:id="rId4" name="Button 1">
              <controlPr defaultSize="0" print="0" autoFill="0" autoLine="0" autoPict="0" macro="[0]!リスト5_Change">
                <anchor moveWithCells="1" sizeWithCells="1">
                  <from>
                    <xdr:col>0</xdr:col>
                    <xdr:colOff>76200</xdr:colOff>
                    <xdr:row>76</xdr:row>
                    <xdr:rowOff>114300</xdr:rowOff>
                  </from>
                  <to>
                    <xdr:col>5</xdr:col>
                    <xdr:colOff>142875</xdr:colOff>
                    <xdr:row>78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8" r:id="rId5" name="Button 2">
              <controlPr defaultSize="0" print="0" autoFill="0" autoLine="0" autoPict="0" macro="[0]!DrawCheck.DrawCheck">
                <anchor moveWithCells="1" sizeWithCells="1">
                  <from>
                    <xdr:col>11</xdr:col>
                    <xdr:colOff>180975</xdr:colOff>
                    <xdr:row>1</xdr:row>
                    <xdr:rowOff>762000</xdr:rowOff>
                  </from>
                  <to>
                    <xdr:col>13</xdr:col>
                    <xdr:colOff>476250</xdr:colOff>
                    <xdr:row>1</xdr:row>
                    <xdr:rowOff>1066800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9" r:id="rId6" name="Button 3">
              <controlPr defaultSize="0" print="0" autoFill="0" autoLine="0" autoPict="0" macro="[0]!Cancel_Click">
                <anchor moveWithCells="1" sizeWithCells="1">
                  <from>
                    <xdr:col>11</xdr:col>
                    <xdr:colOff>180975</xdr:colOff>
                    <xdr:row>1</xdr:row>
                    <xdr:rowOff>419100</xdr:rowOff>
                  </from>
                  <to>
                    <xdr:col>13</xdr:col>
                    <xdr:colOff>476250</xdr:colOff>
                    <xdr:row>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0" r:id="rId7" name="Button 4">
              <controlPr defaultSize="0" print="0" autoFill="0" autoLine="0" autoPict="0" macro="[0]!ボタン41_Click">
                <anchor moveWithCells="1" sizeWithCells="1">
                  <from>
                    <xdr:col>1</xdr:col>
                    <xdr:colOff>0</xdr:colOff>
                    <xdr:row>1</xdr:row>
                    <xdr:rowOff>1000125</xdr:rowOff>
                  </from>
                  <to>
                    <xdr:col>4</xdr:col>
                    <xdr:colOff>133350</xdr:colOff>
                    <xdr:row>1</xdr:row>
                    <xdr:rowOff>1352550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1" r:id="rId8" name="Button 5">
              <controlPr defaultSize="0" print="0" autoFill="0" autoLine="0" autoPict="0" macro="[0]!ENTER_A">
                <anchor moveWithCells="1" sizeWithCells="1">
                  <from>
                    <xdr:col>10</xdr:col>
                    <xdr:colOff>209550</xdr:colOff>
                    <xdr:row>1</xdr:row>
                    <xdr:rowOff>1257300</xdr:rowOff>
                  </from>
                  <to>
                    <xdr:col>12</xdr:col>
                    <xdr:colOff>38100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2" r:id="rId9" name="Button 6">
              <controlPr defaultSize="0" print="0" autoFill="0" autoLine="0" autoPict="0" macro="[0]!ENTER_B">
                <anchor moveWithCells="1" sizeWithCells="1">
                  <from>
                    <xdr:col>12</xdr:col>
                    <xdr:colOff>47625</xdr:colOff>
                    <xdr:row>1</xdr:row>
                    <xdr:rowOff>1257300</xdr:rowOff>
                  </from>
                  <to>
                    <xdr:col>13</xdr:col>
                    <xdr:colOff>142875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3" r:id="rId10" name="Button 7">
              <controlPr defaultSize="0" print="0" autoFill="0" autoLine="0" autoPict="0" macro="[0]!ENTER_C">
                <anchor moveWithCells="1" sizeWithCells="1">
                  <from>
                    <xdr:col>13</xdr:col>
                    <xdr:colOff>161925</xdr:colOff>
                    <xdr:row>1</xdr:row>
                    <xdr:rowOff>1257300</xdr:rowOff>
                  </from>
                  <to>
                    <xdr:col>13</xdr:col>
                    <xdr:colOff>485775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4" r:id="rId11" name="Button 8">
              <controlPr defaultSize="0" print="0" autoFill="0" autoLine="0" autoPict="0" macro="[0]!ENTER_N">
                <anchor moveWithCells="1" sizeWithCells="1">
                  <from>
                    <xdr:col>9</xdr:col>
                    <xdr:colOff>95250</xdr:colOff>
                    <xdr:row>1</xdr:row>
                    <xdr:rowOff>1257300</xdr:rowOff>
                  </from>
                  <to>
                    <xdr:col>10</xdr:col>
                    <xdr:colOff>200025</xdr:colOff>
                    <xdr:row>1</xdr:row>
                    <xdr:rowOff>1524000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61A3-F651-4A5D-8935-DD1CECAA58B6}">
  <sheetPr codeName="Sheet53">
    <pageSetUpPr fitToPage="1"/>
  </sheetPr>
  <dimension ref="A1:AO76"/>
  <sheetViews>
    <sheetView showGridLines="0" showOutlineSymbols="0" defaultGridColor="0" colorId="8" zoomScaleNormal="100" workbookViewId="0">
      <pane xSplit="14" ySplit="2" topLeftCell="O12" activePane="bottomRight" state="frozen"/>
      <selection activeCell="I22" sqref="I22"/>
      <selection pane="topRight" activeCell="I22" sqref="I22"/>
      <selection pane="bottomLeft" activeCell="I22" sqref="I22"/>
      <selection pane="bottomRight" activeCell="B25" sqref="B25:N31"/>
    </sheetView>
  </sheetViews>
  <sheetFormatPr defaultColWidth="9.140625" defaultRowHeight="15" customHeight="1"/>
  <cols>
    <col min="1" max="13" width="3.5703125" style="5" customWidth="1"/>
    <col min="14" max="14" width="11.85546875" style="31" customWidth="1"/>
    <col min="15" max="238" width="3.5703125" style="5" customWidth="1"/>
    <col min="239" max="16384" width="9.140625" style="5"/>
  </cols>
  <sheetData>
    <row r="1" spans="1:41" ht="24.95" customHeight="1">
      <c r="A1" s="66" t="s">
        <v>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74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6"/>
    </row>
    <row r="2" spans="1:41" s="9" customFormat="1" ht="135" customHeight="1">
      <c r="A2" s="6"/>
      <c r="N2" s="58"/>
      <c r="O2" s="117" t="s">
        <v>255</v>
      </c>
      <c r="P2" s="117" t="s">
        <v>256</v>
      </c>
      <c r="Q2" s="117" t="s">
        <v>257</v>
      </c>
      <c r="R2" s="117" t="s">
        <v>258</v>
      </c>
      <c r="S2" s="117" t="s">
        <v>259</v>
      </c>
      <c r="T2" s="117" t="s">
        <v>260</v>
      </c>
      <c r="U2" s="157" t="s">
        <v>261</v>
      </c>
      <c r="V2" s="157" t="s">
        <v>262</v>
      </c>
      <c r="W2" s="157" t="s">
        <v>263</v>
      </c>
      <c r="X2" s="157" t="s">
        <v>264</v>
      </c>
      <c r="Y2" s="157" t="s">
        <v>265</v>
      </c>
      <c r="Z2" s="157" t="s">
        <v>266</v>
      </c>
      <c r="AA2" s="157" t="s">
        <v>267</v>
      </c>
      <c r="AB2" s="209" t="s">
        <v>268</v>
      </c>
      <c r="AC2" s="209" t="s">
        <v>269</v>
      </c>
      <c r="AD2" s="209" t="s">
        <v>270</v>
      </c>
      <c r="AE2" s="210" t="s">
        <v>271</v>
      </c>
      <c r="AF2" s="215" t="s">
        <v>272</v>
      </c>
      <c r="AG2" s="215" t="s">
        <v>273</v>
      </c>
      <c r="AH2" s="215" t="s">
        <v>274</v>
      </c>
      <c r="AI2" s="64"/>
      <c r="AJ2" s="64"/>
      <c r="AK2" s="65"/>
      <c r="AL2" s="7"/>
      <c r="AM2" s="8"/>
      <c r="AN2" s="7"/>
    </row>
    <row r="3" spans="1:41" ht="15" customHeight="1">
      <c r="A3" s="55"/>
      <c r="B3" s="80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10"/>
      <c r="O3" s="119"/>
      <c r="P3" s="119"/>
      <c r="Q3" s="119"/>
      <c r="R3" s="118"/>
      <c r="S3" s="119"/>
      <c r="T3" s="119"/>
      <c r="U3" s="158"/>
      <c r="V3" s="159"/>
      <c r="W3" s="159"/>
      <c r="X3" s="159"/>
      <c r="Y3" s="159"/>
      <c r="Z3" s="159"/>
      <c r="AA3" s="159"/>
      <c r="AB3" s="211"/>
      <c r="AC3" s="211"/>
      <c r="AD3" s="211"/>
      <c r="AE3" s="211"/>
      <c r="AF3" s="128"/>
      <c r="AG3" s="128"/>
      <c r="AH3" s="128"/>
      <c r="AI3" s="52"/>
      <c r="AJ3" s="52"/>
      <c r="AK3" s="53"/>
    </row>
    <row r="4" spans="1:41" ht="15" customHeight="1">
      <c r="A4" s="56"/>
      <c r="B4" s="96" t="s">
        <v>125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8"/>
      <c r="O4" s="119"/>
      <c r="P4" s="119"/>
      <c r="Q4" s="119"/>
      <c r="R4" s="119"/>
      <c r="S4" s="119"/>
      <c r="T4" s="119"/>
      <c r="U4" s="158"/>
      <c r="V4" s="158"/>
      <c r="W4" s="158"/>
      <c r="X4" s="158"/>
      <c r="Y4" s="159"/>
      <c r="Z4" s="158"/>
      <c r="AA4" s="158"/>
      <c r="AB4" s="212"/>
      <c r="AC4" s="212"/>
      <c r="AD4" s="211"/>
      <c r="AE4" s="212"/>
      <c r="AF4" s="129"/>
      <c r="AG4" s="129"/>
      <c r="AH4" s="128"/>
      <c r="AI4" s="52"/>
      <c r="AJ4" s="52"/>
      <c r="AK4" s="53"/>
      <c r="AM4" s="120"/>
      <c r="AN4" s="120"/>
      <c r="AO4" s="116" t="s">
        <v>156</v>
      </c>
    </row>
    <row r="5" spans="1:41" ht="15" customHeight="1">
      <c r="A5" s="91"/>
      <c r="B5" s="59"/>
      <c r="C5" s="92" t="s">
        <v>160</v>
      </c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8"/>
      <c r="O5" s="119" t="s">
        <v>83</v>
      </c>
      <c r="P5" s="119" t="s">
        <v>83</v>
      </c>
      <c r="Q5" s="119" t="s">
        <v>83</v>
      </c>
      <c r="R5" s="119" t="s">
        <v>83</v>
      </c>
      <c r="S5" s="119" t="s">
        <v>83</v>
      </c>
      <c r="T5" s="119" t="s">
        <v>83</v>
      </c>
      <c r="U5" s="158" t="s">
        <v>83</v>
      </c>
      <c r="V5" s="158" t="s">
        <v>83</v>
      </c>
      <c r="W5" s="158" t="s">
        <v>83</v>
      </c>
      <c r="X5" s="158" t="s">
        <v>83</v>
      </c>
      <c r="Y5" s="158" t="s">
        <v>83</v>
      </c>
      <c r="Z5" s="158" t="s">
        <v>83</v>
      </c>
      <c r="AA5" s="158" t="s">
        <v>83</v>
      </c>
      <c r="AB5" s="211" t="s">
        <v>83</v>
      </c>
      <c r="AC5" s="211" t="s">
        <v>83</v>
      </c>
      <c r="AD5" s="211" t="s">
        <v>83</v>
      </c>
      <c r="AE5" s="211" t="s">
        <v>83</v>
      </c>
      <c r="AF5" s="129" t="s">
        <v>83</v>
      </c>
      <c r="AG5" s="129" t="s">
        <v>83</v>
      </c>
      <c r="AH5" s="129" t="s">
        <v>83</v>
      </c>
      <c r="AI5" s="57"/>
      <c r="AJ5" s="52"/>
      <c r="AK5" s="53"/>
      <c r="AM5" s="160"/>
      <c r="AN5" s="160"/>
      <c r="AO5" s="116" t="s">
        <v>157</v>
      </c>
    </row>
    <row r="6" spans="1:41" ht="15" customHeight="1">
      <c r="A6" s="56" t="s">
        <v>49</v>
      </c>
      <c r="B6" s="96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8"/>
      <c r="O6" s="119"/>
      <c r="P6" s="119"/>
      <c r="Q6" s="118"/>
      <c r="R6" s="119"/>
      <c r="S6" s="119"/>
      <c r="T6" s="119"/>
      <c r="U6" s="159"/>
      <c r="V6" s="158"/>
      <c r="W6" s="159"/>
      <c r="X6" s="159"/>
      <c r="Y6" s="159"/>
      <c r="Z6" s="159"/>
      <c r="AA6" s="158"/>
      <c r="AB6" s="212"/>
      <c r="AC6" s="211"/>
      <c r="AD6" s="212"/>
      <c r="AE6" s="212"/>
      <c r="AF6" s="128"/>
      <c r="AG6" s="128"/>
      <c r="AH6" s="128"/>
      <c r="AI6" s="52"/>
      <c r="AJ6" s="52"/>
      <c r="AK6" s="53"/>
      <c r="AM6" s="213"/>
      <c r="AN6" s="214"/>
      <c r="AO6" s="116" t="s">
        <v>158</v>
      </c>
    </row>
    <row r="7" spans="1:41" ht="15" customHeight="1">
      <c r="A7" s="56" t="s">
        <v>8</v>
      </c>
      <c r="B7" s="96" t="s">
        <v>72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8"/>
      <c r="O7" s="119"/>
      <c r="P7" s="119"/>
      <c r="Q7" s="118"/>
      <c r="R7" s="119"/>
      <c r="S7" s="119"/>
      <c r="T7" s="119"/>
      <c r="U7" s="159"/>
      <c r="V7" s="158"/>
      <c r="W7" s="159"/>
      <c r="X7" s="159"/>
      <c r="Y7" s="158"/>
      <c r="Z7" s="158"/>
      <c r="AA7" s="158"/>
      <c r="AB7" s="212"/>
      <c r="AC7" s="211"/>
      <c r="AD7" s="212"/>
      <c r="AE7" s="212"/>
      <c r="AF7" s="129"/>
      <c r="AG7" s="128"/>
      <c r="AH7" s="129"/>
      <c r="AI7" s="52"/>
      <c r="AJ7" s="52"/>
      <c r="AK7" s="53"/>
      <c r="AM7" s="130"/>
      <c r="AN7" s="130"/>
      <c r="AO7" s="116" t="s">
        <v>159</v>
      </c>
    </row>
    <row r="8" spans="1:41" ht="15" customHeight="1">
      <c r="A8" s="56" t="s">
        <v>42</v>
      </c>
      <c r="B8" s="80"/>
      <c r="C8" s="96" t="s">
        <v>53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8"/>
      <c r="O8" s="119"/>
      <c r="P8" s="119"/>
      <c r="Q8" s="119"/>
      <c r="R8" s="119"/>
      <c r="S8" s="119"/>
      <c r="T8" s="119"/>
      <c r="U8" s="158"/>
      <c r="V8" s="158"/>
      <c r="W8" s="158"/>
      <c r="X8" s="158"/>
      <c r="Y8" s="158"/>
      <c r="Z8" s="158"/>
      <c r="AA8" s="158"/>
      <c r="AB8" s="211"/>
      <c r="AC8" s="212"/>
      <c r="AD8" s="211"/>
      <c r="AE8" s="212"/>
      <c r="AF8" s="129"/>
      <c r="AG8" s="129"/>
      <c r="AH8" s="129"/>
      <c r="AI8" s="52"/>
      <c r="AJ8" s="52"/>
      <c r="AK8" s="17"/>
    </row>
    <row r="9" spans="1:41" ht="15" customHeight="1">
      <c r="A9" s="56" t="s">
        <v>9</v>
      </c>
      <c r="B9" s="80"/>
      <c r="C9" s="99"/>
      <c r="D9" s="92" t="s">
        <v>54</v>
      </c>
      <c r="E9" s="137"/>
      <c r="F9" s="137"/>
      <c r="G9" s="137"/>
      <c r="H9" s="137"/>
      <c r="I9" s="137"/>
      <c r="J9" s="137"/>
      <c r="K9" s="137"/>
      <c r="L9" s="137"/>
      <c r="M9" s="137"/>
      <c r="N9" s="138"/>
      <c r="O9" s="119" t="s">
        <v>83</v>
      </c>
      <c r="P9" s="119" t="s">
        <v>83</v>
      </c>
      <c r="Q9" s="119" t="s">
        <v>83</v>
      </c>
      <c r="R9" s="119" t="s">
        <v>83</v>
      </c>
      <c r="S9" s="119" t="s">
        <v>83</v>
      </c>
      <c r="T9" s="119" t="s">
        <v>83</v>
      </c>
      <c r="U9" s="158" t="s">
        <v>83</v>
      </c>
      <c r="V9" s="158" t="s">
        <v>83</v>
      </c>
      <c r="W9" s="158" t="s">
        <v>83</v>
      </c>
      <c r="X9" s="158" t="s">
        <v>83</v>
      </c>
      <c r="Y9" s="158" t="s">
        <v>83</v>
      </c>
      <c r="Z9" s="158" t="s">
        <v>83</v>
      </c>
      <c r="AA9" s="158" t="s">
        <v>83</v>
      </c>
      <c r="AB9" s="211"/>
      <c r="AC9" s="212"/>
      <c r="AD9" s="211"/>
      <c r="AE9" s="212"/>
      <c r="AF9" s="129" t="s">
        <v>83</v>
      </c>
      <c r="AG9" s="129" t="s">
        <v>83</v>
      </c>
      <c r="AH9" s="129" t="s">
        <v>83</v>
      </c>
      <c r="AI9" s="52"/>
      <c r="AJ9" s="52"/>
      <c r="AK9" s="17"/>
    </row>
    <row r="10" spans="1:41" ht="15" customHeight="1">
      <c r="A10" s="56" t="s">
        <v>10</v>
      </c>
      <c r="B10" s="80"/>
      <c r="C10" s="99"/>
      <c r="D10" s="109" t="s">
        <v>79</v>
      </c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19"/>
      <c r="P10" s="119"/>
      <c r="Q10" s="119"/>
      <c r="R10" s="119"/>
      <c r="S10" s="119"/>
      <c r="T10" s="118"/>
      <c r="U10" s="159"/>
      <c r="V10" s="159"/>
      <c r="W10" s="158"/>
      <c r="X10" s="158"/>
      <c r="Y10" s="159"/>
      <c r="Z10" s="159"/>
      <c r="AA10" s="159"/>
      <c r="AB10" s="211" t="s">
        <v>83</v>
      </c>
      <c r="AC10" s="212"/>
      <c r="AD10" s="211"/>
      <c r="AE10" s="212"/>
      <c r="AF10" s="129"/>
      <c r="AG10" s="129"/>
      <c r="AH10" s="129"/>
      <c r="AI10" s="52"/>
      <c r="AJ10" s="52"/>
      <c r="AK10" s="17"/>
    </row>
    <row r="11" spans="1:41" ht="15" customHeight="1">
      <c r="A11" s="56" t="s">
        <v>11</v>
      </c>
      <c r="B11" s="99"/>
      <c r="C11" s="95"/>
      <c r="D11" s="92" t="s">
        <v>80</v>
      </c>
      <c r="E11" s="137"/>
      <c r="F11" s="137"/>
      <c r="G11" s="137"/>
      <c r="H11" s="137"/>
      <c r="I11" s="137"/>
      <c r="J11" s="137"/>
      <c r="K11" s="137"/>
      <c r="L11" s="137"/>
      <c r="M11" s="137"/>
      <c r="N11" s="138"/>
      <c r="O11" s="119"/>
      <c r="P11" s="119"/>
      <c r="Q11" s="119"/>
      <c r="R11" s="119"/>
      <c r="S11" s="119"/>
      <c r="T11" s="118"/>
      <c r="U11" s="159"/>
      <c r="V11" s="159"/>
      <c r="W11" s="159"/>
      <c r="X11" s="158"/>
      <c r="Y11" s="158"/>
      <c r="Z11" s="158"/>
      <c r="AA11" s="159"/>
      <c r="AB11" s="211"/>
      <c r="AC11" s="211" t="s">
        <v>83</v>
      </c>
      <c r="AD11" s="211" t="s">
        <v>83</v>
      </c>
      <c r="AE11" s="211" t="s">
        <v>83</v>
      </c>
      <c r="AF11" s="128"/>
      <c r="AG11" s="128"/>
      <c r="AH11" s="128"/>
      <c r="AI11" s="52"/>
      <c r="AJ11" s="52"/>
      <c r="AK11" s="17"/>
    </row>
    <row r="12" spans="1:41" ht="15" customHeight="1">
      <c r="A12" s="56"/>
      <c r="B12" s="80"/>
      <c r="C12" s="96" t="s">
        <v>151</v>
      </c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19"/>
      <c r="P12" s="119"/>
      <c r="Q12" s="119"/>
      <c r="R12" s="119"/>
      <c r="S12" s="119"/>
      <c r="T12" s="119"/>
      <c r="U12" s="158"/>
      <c r="V12" s="158"/>
      <c r="W12" s="158"/>
      <c r="X12" s="158"/>
      <c r="Y12" s="158"/>
      <c r="Z12" s="158"/>
      <c r="AA12" s="158"/>
      <c r="AB12" s="211"/>
      <c r="AC12" s="212"/>
      <c r="AD12" s="211"/>
      <c r="AE12" s="212"/>
      <c r="AF12" s="129"/>
      <c r="AG12" s="129"/>
      <c r="AH12" s="129"/>
      <c r="AI12" s="52"/>
      <c r="AJ12" s="52"/>
      <c r="AK12" s="17"/>
    </row>
    <row r="13" spans="1:41" ht="15" customHeight="1">
      <c r="A13" s="56"/>
      <c r="B13" s="80"/>
      <c r="C13" s="99"/>
      <c r="D13" s="92" t="s">
        <v>91</v>
      </c>
      <c r="E13" s="137"/>
      <c r="F13" s="137"/>
      <c r="G13" s="137"/>
      <c r="H13" s="137"/>
      <c r="I13" s="137"/>
      <c r="J13" s="137"/>
      <c r="K13" s="137"/>
      <c r="L13" s="137"/>
      <c r="M13" s="137"/>
      <c r="N13" s="138"/>
      <c r="O13" s="119" t="s">
        <v>83</v>
      </c>
      <c r="P13" s="119" t="s">
        <v>83</v>
      </c>
      <c r="Q13" s="119" t="s">
        <v>83</v>
      </c>
      <c r="R13" s="119" t="s">
        <v>83</v>
      </c>
      <c r="S13" s="119" t="s">
        <v>83</v>
      </c>
      <c r="T13" s="119" t="s">
        <v>83</v>
      </c>
      <c r="U13" s="158"/>
      <c r="V13" s="158" t="s">
        <v>83</v>
      </c>
      <c r="W13" s="158" t="s">
        <v>83</v>
      </c>
      <c r="X13" s="159"/>
      <c r="Y13" s="159"/>
      <c r="Z13" s="158" t="s">
        <v>83</v>
      </c>
      <c r="AA13" s="158"/>
      <c r="AB13" s="211" t="s">
        <v>83</v>
      </c>
      <c r="AC13" s="212"/>
      <c r="AD13" s="211" t="s">
        <v>83</v>
      </c>
      <c r="AE13" s="212"/>
      <c r="AF13" s="129" t="s">
        <v>83</v>
      </c>
      <c r="AG13" s="129" t="s">
        <v>83</v>
      </c>
      <c r="AH13" s="129"/>
      <c r="AI13" s="52"/>
      <c r="AJ13" s="52"/>
      <c r="AK13" s="17"/>
    </row>
    <row r="14" spans="1:41" ht="15" customHeight="1">
      <c r="A14" s="56"/>
      <c r="B14" s="80"/>
      <c r="C14" s="99"/>
      <c r="D14" s="109" t="s">
        <v>92</v>
      </c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19"/>
      <c r="P14" s="119"/>
      <c r="Q14" s="119"/>
      <c r="R14" s="119"/>
      <c r="S14" s="119"/>
      <c r="T14" s="118"/>
      <c r="U14" s="158" t="s">
        <v>83</v>
      </c>
      <c r="V14" s="158"/>
      <c r="W14" s="158"/>
      <c r="X14" s="158" t="s">
        <v>83</v>
      </c>
      <c r="Y14" s="158" t="s">
        <v>83</v>
      </c>
      <c r="Z14" s="158"/>
      <c r="AA14" s="158" t="s">
        <v>83</v>
      </c>
      <c r="AB14" s="211"/>
      <c r="AC14" s="211" t="s">
        <v>83</v>
      </c>
      <c r="AD14" s="211"/>
      <c r="AE14" s="211" t="s">
        <v>83</v>
      </c>
      <c r="AF14" s="129"/>
      <c r="AG14" s="129"/>
      <c r="AH14" s="129" t="s">
        <v>83</v>
      </c>
      <c r="AI14" s="52"/>
      <c r="AJ14" s="52"/>
      <c r="AK14" s="17"/>
    </row>
    <row r="15" spans="1:41" ht="15" customHeight="1">
      <c r="A15" s="56"/>
      <c r="B15" s="80"/>
      <c r="C15" s="96" t="s">
        <v>154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19"/>
      <c r="P15" s="119"/>
      <c r="Q15" s="119"/>
      <c r="R15" s="119"/>
      <c r="S15" s="119"/>
      <c r="T15" s="119"/>
      <c r="U15" s="158"/>
      <c r="V15" s="158"/>
      <c r="W15" s="158"/>
      <c r="X15" s="158"/>
      <c r="Y15" s="158"/>
      <c r="Z15" s="158"/>
      <c r="AA15" s="158"/>
      <c r="AB15" s="211"/>
      <c r="AC15" s="212"/>
      <c r="AD15" s="211"/>
      <c r="AE15" s="212"/>
      <c r="AF15" s="129"/>
      <c r="AG15" s="129"/>
      <c r="AH15" s="129"/>
      <c r="AI15" s="52"/>
      <c r="AJ15" s="52"/>
      <c r="AK15" s="17"/>
    </row>
    <row r="16" spans="1:41" ht="15" customHeight="1">
      <c r="A16" s="56"/>
      <c r="B16" s="80"/>
      <c r="C16" s="99"/>
      <c r="D16" s="92" t="s">
        <v>91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8"/>
      <c r="O16" s="119" t="s">
        <v>83</v>
      </c>
      <c r="P16" s="119" t="s">
        <v>83</v>
      </c>
      <c r="Q16" s="119" t="s">
        <v>83</v>
      </c>
      <c r="R16" s="119" t="s">
        <v>83</v>
      </c>
      <c r="S16" s="119" t="s">
        <v>83</v>
      </c>
      <c r="T16" s="119" t="s">
        <v>83</v>
      </c>
      <c r="U16" s="158" t="s">
        <v>83</v>
      </c>
      <c r="V16" s="158"/>
      <c r="W16" s="158" t="s">
        <v>83</v>
      </c>
      <c r="X16" s="158"/>
      <c r="Y16" s="158" t="s">
        <v>83</v>
      </c>
      <c r="Z16" s="158"/>
      <c r="AA16" s="159"/>
      <c r="AB16" s="211" t="s">
        <v>83</v>
      </c>
      <c r="AC16" s="211" t="s">
        <v>83</v>
      </c>
      <c r="AD16" s="211"/>
      <c r="AE16" s="211"/>
      <c r="AF16" s="129" t="s">
        <v>83</v>
      </c>
      <c r="AG16" s="129" t="s">
        <v>83</v>
      </c>
      <c r="AH16" s="129"/>
      <c r="AI16" s="52"/>
      <c r="AJ16" s="52"/>
      <c r="AK16" s="17"/>
    </row>
    <row r="17" spans="1:37" ht="15" customHeight="1">
      <c r="A17" s="56"/>
      <c r="B17" s="80"/>
      <c r="C17" s="99"/>
      <c r="D17" s="109" t="s">
        <v>92</v>
      </c>
      <c r="E17" s="109"/>
      <c r="F17" s="109"/>
      <c r="G17" s="109"/>
      <c r="H17" s="109"/>
      <c r="I17" s="109"/>
      <c r="J17" s="109"/>
      <c r="K17" s="109"/>
      <c r="L17" s="109"/>
      <c r="M17" s="109"/>
      <c r="N17" s="110"/>
      <c r="O17" s="119"/>
      <c r="P17" s="119"/>
      <c r="Q17" s="119"/>
      <c r="R17" s="119"/>
      <c r="S17" s="119"/>
      <c r="T17" s="118"/>
      <c r="U17" s="159"/>
      <c r="V17" s="158" t="s">
        <v>83</v>
      </c>
      <c r="W17" s="158"/>
      <c r="X17" s="158" t="s">
        <v>83</v>
      </c>
      <c r="Y17" s="159"/>
      <c r="Z17" s="158" t="s">
        <v>83</v>
      </c>
      <c r="AA17" s="158" t="s">
        <v>83</v>
      </c>
      <c r="AB17" s="212"/>
      <c r="AC17" s="212"/>
      <c r="AD17" s="211" t="s">
        <v>83</v>
      </c>
      <c r="AE17" s="211" t="s">
        <v>83</v>
      </c>
      <c r="AF17" s="129"/>
      <c r="AG17" s="129"/>
      <c r="AH17" s="129" t="s">
        <v>83</v>
      </c>
      <c r="AI17" s="52"/>
      <c r="AJ17" s="52"/>
      <c r="AK17" s="17"/>
    </row>
    <row r="18" spans="1:37" ht="15" customHeight="1">
      <c r="A18" s="56"/>
      <c r="B18" s="80"/>
      <c r="C18" s="96" t="s">
        <v>155</v>
      </c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8"/>
      <c r="O18" s="119"/>
      <c r="P18" s="119"/>
      <c r="Q18" s="119"/>
      <c r="R18" s="119"/>
      <c r="S18" s="119"/>
      <c r="T18" s="119"/>
      <c r="U18" s="158"/>
      <c r="V18" s="158"/>
      <c r="W18" s="158"/>
      <c r="X18" s="158"/>
      <c r="Y18" s="158"/>
      <c r="Z18" s="158"/>
      <c r="AA18" s="158"/>
      <c r="AB18" s="211"/>
      <c r="AC18" s="212"/>
      <c r="AD18" s="211"/>
      <c r="AE18" s="212"/>
      <c r="AF18" s="129"/>
      <c r="AG18" s="129"/>
      <c r="AH18" s="129"/>
      <c r="AI18" s="52"/>
      <c r="AJ18" s="52"/>
      <c r="AK18" s="17"/>
    </row>
    <row r="19" spans="1:37" ht="15" customHeight="1">
      <c r="A19" s="56"/>
      <c r="B19" s="80"/>
      <c r="C19" s="99"/>
      <c r="D19" s="92" t="s">
        <v>91</v>
      </c>
      <c r="E19" s="137"/>
      <c r="F19" s="137"/>
      <c r="G19" s="137"/>
      <c r="H19" s="137"/>
      <c r="I19" s="137"/>
      <c r="J19" s="137"/>
      <c r="K19" s="137"/>
      <c r="L19" s="137"/>
      <c r="M19" s="137"/>
      <c r="N19" s="138"/>
      <c r="O19" s="119" t="s">
        <v>83</v>
      </c>
      <c r="P19" s="119" t="s">
        <v>83</v>
      </c>
      <c r="Q19" s="119" t="s">
        <v>83</v>
      </c>
      <c r="R19" s="119" t="s">
        <v>83</v>
      </c>
      <c r="S19" s="119" t="s">
        <v>83</v>
      </c>
      <c r="T19" s="119" t="s">
        <v>83</v>
      </c>
      <c r="U19" s="158" t="s">
        <v>83</v>
      </c>
      <c r="V19" s="158" t="s">
        <v>83</v>
      </c>
      <c r="W19" s="158"/>
      <c r="X19" s="158" t="s">
        <v>83</v>
      </c>
      <c r="Y19" s="158"/>
      <c r="Z19" s="158"/>
      <c r="AA19" s="159"/>
      <c r="AB19" s="211"/>
      <c r="AC19" s="211" t="s">
        <v>83</v>
      </c>
      <c r="AD19" s="211" t="s">
        <v>83</v>
      </c>
      <c r="AE19" s="211" t="s">
        <v>83</v>
      </c>
      <c r="AF19" s="129" t="s">
        <v>83</v>
      </c>
      <c r="AG19" s="129"/>
      <c r="AH19" s="129" t="s">
        <v>83</v>
      </c>
      <c r="AI19" s="52"/>
      <c r="AJ19" s="52"/>
      <c r="AK19" s="17"/>
    </row>
    <row r="20" spans="1:37" ht="15" customHeight="1">
      <c r="A20" s="56"/>
      <c r="B20" s="79"/>
      <c r="C20" s="95"/>
      <c r="D20" s="81" t="s">
        <v>92</v>
      </c>
      <c r="E20" s="81"/>
      <c r="F20" s="81"/>
      <c r="G20" s="81"/>
      <c r="H20" s="81"/>
      <c r="I20" s="81"/>
      <c r="J20" s="81"/>
      <c r="K20" s="81"/>
      <c r="L20" s="81"/>
      <c r="M20" s="81"/>
      <c r="N20" s="82"/>
      <c r="O20" s="119"/>
      <c r="P20" s="119"/>
      <c r="Q20" s="119"/>
      <c r="R20" s="119"/>
      <c r="S20" s="119"/>
      <c r="T20" s="118"/>
      <c r="U20" s="159"/>
      <c r="V20" s="159"/>
      <c r="W20" s="158" t="s">
        <v>83</v>
      </c>
      <c r="X20" s="158"/>
      <c r="Y20" s="158" t="s">
        <v>83</v>
      </c>
      <c r="Z20" s="158" t="s">
        <v>83</v>
      </c>
      <c r="AA20" s="158" t="s">
        <v>83</v>
      </c>
      <c r="AB20" s="211" t="s">
        <v>83</v>
      </c>
      <c r="AC20" s="212"/>
      <c r="AD20" s="211"/>
      <c r="AE20" s="212"/>
      <c r="AF20" s="129"/>
      <c r="AG20" s="129" t="s">
        <v>83</v>
      </c>
      <c r="AH20" s="129"/>
      <c r="AI20" s="52"/>
      <c r="AJ20" s="52"/>
      <c r="AK20" s="17"/>
    </row>
    <row r="21" spans="1:37" ht="15" customHeight="1">
      <c r="A21" s="56"/>
      <c r="B21" s="80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19"/>
      <c r="P21" s="119"/>
      <c r="Q21" s="119"/>
      <c r="R21" s="119"/>
      <c r="S21" s="119"/>
      <c r="T21" s="119"/>
      <c r="U21" s="158"/>
      <c r="V21" s="158"/>
      <c r="W21" s="158"/>
      <c r="X21" s="159"/>
      <c r="Y21" s="158"/>
      <c r="Z21" s="159"/>
      <c r="AA21" s="158"/>
      <c r="AB21" s="211"/>
      <c r="AC21" s="212"/>
      <c r="AD21" s="211"/>
      <c r="AE21" s="212"/>
      <c r="AF21" s="129"/>
      <c r="AG21" s="129"/>
      <c r="AH21" s="129"/>
      <c r="AI21" s="52"/>
      <c r="AJ21" s="52"/>
      <c r="AK21" s="17"/>
    </row>
    <row r="22" spans="1:37" ht="15" customHeight="1">
      <c r="A22" s="56"/>
      <c r="B22" s="96" t="s">
        <v>113</v>
      </c>
      <c r="C22" s="96"/>
      <c r="D22" s="96"/>
      <c r="E22" s="97"/>
      <c r="F22" s="97"/>
      <c r="G22" s="97"/>
      <c r="H22" s="97"/>
      <c r="I22" s="97"/>
      <c r="J22" s="97"/>
      <c r="K22" s="97"/>
      <c r="L22" s="97"/>
      <c r="M22" s="97"/>
      <c r="N22" s="98"/>
      <c r="O22" s="119"/>
      <c r="P22" s="119"/>
      <c r="Q22" s="119"/>
      <c r="R22" s="119"/>
      <c r="S22" s="119"/>
      <c r="T22" s="119"/>
      <c r="U22" s="158"/>
      <c r="V22" s="158"/>
      <c r="W22" s="158"/>
      <c r="X22" s="158"/>
      <c r="Y22" s="158"/>
      <c r="Z22" s="158"/>
      <c r="AA22" s="158"/>
      <c r="AB22" s="212"/>
      <c r="AC22" s="211"/>
      <c r="AD22" s="211"/>
      <c r="AE22" s="212"/>
      <c r="AF22" s="129"/>
      <c r="AG22" s="128"/>
      <c r="AH22" s="128"/>
      <c r="AI22" s="52"/>
      <c r="AJ22" s="52"/>
      <c r="AK22" s="53"/>
    </row>
    <row r="23" spans="1:37" ht="15" customHeight="1">
      <c r="B23" s="80"/>
      <c r="C23" s="92" t="s">
        <v>61</v>
      </c>
      <c r="D23" s="92"/>
      <c r="E23" s="137"/>
      <c r="F23" s="137"/>
      <c r="G23" s="137"/>
      <c r="H23" s="137"/>
      <c r="I23" s="137"/>
      <c r="J23" s="137"/>
      <c r="K23" s="137"/>
      <c r="L23" s="137"/>
      <c r="M23" s="137"/>
      <c r="N23" s="138"/>
      <c r="O23" s="119" t="s">
        <v>83</v>
      </c>
      <c r="P23" s="119" t="s">
        <v>83</v>
      </c>
      <c r="Q23" s="119" t="s">
        <v>83</v>
      </c>
      <c r="R23" s="119" t="s">
        <v>83</v>
      </c>
      <c r="S23" s="119" t="s">
        <v>83</v>
      </c>
      <c r="T23" s="119" t="s">
        <v>83</v>
      </c>
      <c r="U23" s="158" t="s">
        <v>83</v>
      </c>
      <c r="V23" s="158" t="s">
        <v>83</v>
      </c>
      <c r="W23" s="158" t="s">
        <v>83</v>
      </c>
      <c r="X23" s="158" t="s">
        <v>83</v>
      </c>
      <c r="Y23" s="158" t="s">
        <v>83</v>
      </c>
      <c r="Z23" s="158" t="s">
        <v>83</v>
      </c>
      <c r="AA23" s="158" t="s">
        <v>83</v>
      </c>
      <c r="AB23" s="211" t="s">
        <v>83</v>
      </c>
      <c r="AC23" s="211" t="s">
        <v>83</v>
      </c>
      <c r="AD23" s="211" t="s">
        <v>83</v>
      </c>
      <c r="AE23" s="211" t="s">
        <v>83</v>
      </c>
      <c r="AF23" s="129" t="s">
        <v>83</v>
      </c>
      <c r="AG23" s="129" t="s">
        <v>83</v>
      </c>
      <c r="AH23" s="129" t="s">
        <v>83</v>
      </c>
      <c r="AI23" s="125"/>
      <c r="AJ23" s="125"/>
      <c r="AK23" s="53"/>
    </row>
    <row r="24" spans="1:37" ht="15" customHeight="1">
      <c r="B24" s="96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8"/>
      <c r="O24" s="119"/>
      <c r="P24" s="119"/>
      <c r="Q24" s="119"/>
      <c r="R24" s="118"/>
      <c r="S24" s="119"/>
      <c r="T24" s="119"/>
      <c r="U24" s="158"/>
      <c r="V24" s="158"/>
      <c r="W24" s="158"/>
      <c r="X24" s="159"/>
      <c r="Y24" s="158"/>
      <c r="Z24" s="158"/>
      <c r="AA24" s="158"/>
      <c r="AB24" s="212"/>
      <c r="AC24" s="211"/>
      <c r="AD24" s="211"/>
      <c r="AE24" s="212"/>
      <c r="AF24" s="129"/>
      <c r="AG24" s="128"/>
      <c r="AH24" s="128"/>
      <c r="AI24" s="52"/>
      <c r="AJ24" s="52"/>
      <c r="AK24" s="53"/>
    </row>
    <row r="25" spans="1:37" ht="15" customHeight="1">
      <c r="A25" s="56"/>
      <c r="B25" s="96" t="s">
        <v>104</v>
      </c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8"/>
      <c r="O25" s="119"/>
      <c r="P25" s="119"/>
      <c r="Q25" s="119"/>
      <c r="R25" s="119"/>
      <c r="S25" s="119"/>
      <c r="T25" s="119"/>
      <c r="U25" s="158"/>
      <c r="V25" s="158"/>
      <c r="W25" s="158"/>
      <c r="X25" s="158"/>
      <c r="Y25" s="158"/>
      <c r="Z25" s="158"/>
      <c r="AA25" s="158"/>
      <c r="AB25" s="212"/>
      <c r="AC25" s="212"/>
      <c r="AD25" s="212"/>
      <c r="AE25" s="212"/>
      <c r="AF25" s="129"/>
      <c r="AG25" s="129"/>
      <c r="AH25" s="129"/>
      <c r="AI25" s="52"/>
      <c r="AJ25" s="52"/>
      <c r="AK25" s="53"/>
    </row>
    <row r="26" spans="1:37" ht="15" customHeight="1">
      <c r="A26" s="56"/>
      <c r="B26" s="80"/>
      <c r="C26" s="148" t="s">
        <v>109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50"/>
      <c r="O26" s="119" t="s">
        <v>83</v>
      </c>
      <c r="P26" s="119"/>
      <c r="Q26" s="118"/>
      <c r="R26" s="119"/>
      <c r="S26" s="119"/>
      <c r="T26" s="119"/>
      <c r="U26" s="158"/>
      <c r="V26" s="158"/>
      <c r="W26" s="159"/>
      <c r="X26" s="159"/>
      <c r="Y26" s="158"/>
      <c r="Z26" s="159"/>
      <c r="AA26" s="158"/>
      <c r="AB26" s="212"/>
      <c r="AC26" s="212"/>
      <c r="AD26" s="211"/>
      <c r="AE26" s="211"/>
      <c r="AF26" s="128"/>
      <c r="AG26" s="128"/>
      <c r="AH26" s="128"/>
      <c r="AI26" s="126"/>
      <c r="AJ26" s="126"/>
      <c r="AK26" s="151"/>
    </row>
    <row r="27" spans="1:37" ht="15" customHeight="1">
      <c r="A27" s="56"/>
      <c r="B27" s="80"/>
      <c r="C27" s="148" t="s">
        <v>122</v>
      </c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50"/>
      <c r="O27" s="119"/>
      <c r="P27" s="119" t="s">
        <v>83</v>
      </c>
      <c r="Q27" s="119"/>
      <c r="R27" s="119"/>
      <c r="S27" s="119"/>
      <c r="T27" s="119"/>
      <c r="U27" s="158"/>
      <c r="V27" s="158"/>
      <c r="W27" s="158"/>
      <c r="X27" s="158"/>
      <c r="Y27" s="158"/>
      <c r="Z27" s="158"/>
      <c r="AA27" s="158"/>
      <c r="AB27" s="212"/>
      <c r="AC27" s="212"/>
      <c r="AD27" s="211"/>
      <c r="AE27" s="212"/>
      <c r="AF27" s="129"/>
      <c r="AG27" s="129"/>
      <c r="AH27" s="128"/>
      <c r="AI27" s="126"/>
      <c r="AJ27" s="126"/>
      <c r="AK27" s="151"/>
    </row>
    <row r="28" spans="1:37" ht="15" customHeight="1">
      <c r="A28" s="56"/>
      <c r="B28" s="80"/>
      <c r="C28" s="80" t="s">
        <v>110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10"/>
      <c r="O28" s="119"/>
      <c r="P28" s="119"/>
      <c r="Q28" s="119" t="s">
        <v>83</v>
      </c>
      <c r="R28" s="119"/>
      <c r="S28" s="119"/>
      <c r="T28" s="119"/>
      <c r="U28" s="158" t="s">
        <v>83</v>
      </c>
      <c r="V28" s="158" t="s">
        <v>83</v>
      </c>
      <c r="W28" s="158" t="s">
        <v>83</v>
      </c>
      <c r="X28" s="158" t="s">
        <v>83</v>
      </c>
      <c r="Y28" s="158" t="s">
        <v>83</v>
      </c>
      <c r="Z28" s="158" t="s">
        <v>83</v>
      </c>
      <c r="AA28" s="158" t="s">
        <v>83</v>
      </c>
      <c r="AB28" s="211" t="s">
        <v>83</v>
      </c>
      <c r="AC28" s="211" t="s">
        <v>83</v>
      </c>
      <c r="AD28" s="211" t="s">
        <v>83</v>
      </c>
      <c r="AE28" s="211" t="s">
        <v>83</v>
      </c>
      <c r="AF28" s="129" t="s">
        <v>83</v>
      </c>
      <c r="AG28" s="129" t="s">
        <v>83</v>
      </c>
      <c r="AH28" s="129" t="s">
        <v>83</v>
      </c>
      <c r="AI28" s="52"/>
      <c r="AJ28" s="52"/>
      <c r="AK28" s="53"/>
    </row>
    <row r="29" spans="1:37" ht="15" customHeight="1">
      <c r="A29" s="56"/>
      <c r="B29" s="80"/>
      <c r="C29" s="92" t="s">
        <v>111</v>
      </c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8"/>
      <c r="O29" s="119"/>
      <c r="P29" s="119"/>
      <c r="Q29" s="119"/>
      <c r="R29" s="119" t="s">
        <v>83</v>
      </c>
      <c r="S29" s="119"/>
      <c r="T29" s="119"/>
      <c r="U29" s="158"/>
      <c r="V29" s="158"/>
      <c r="W29" s="158"/>
      <c r="X29" s="158"/>
      <c r="Y29" s="158"/>
      <c r="Z29" s="158"/>
      <c r="AA29" s="158"/>
      <c r="AB29" s="212"/>
      <c r="AC29" s="212"/>
      <c r="AD29" s="212"/>
      <c r="AE29" s="212"/>
      <c r="AF29" s="129"/>
      <c r="AG29" s="128"/>
      <c r="AH29" s="128"/>
      <c r="AI29" s="52"/>
      <c r="AJ29" s="52"/>
      <c r="AK29" s="53"/>
    </row>
    <row r="30" spans="1:37" ht="30.75" customHeight="1">
      <c r="A30" s="56"/>
      <c r="B30" s="80"/>
      <c r="C30" s="199" t="s">
        <v>118</v>
      </c>
      <c r="D30" s="200"/>
      <c r="E30" s="200"/>
      <c r="F30" s="200"/>
      <c r="G30" s="200"/>
      <c r="H30" s="200"/>
      <c r="I30" s="200"/>
      <c r="J30" s="200"/>
      <c r="K30" s="200"/>
      <c r="L30" s="200"/>
      <c r="M30" s="200"/>
      <c r="N30" s="201"/>
      <c r="O30" s="119"/>
      <c r="P30" s="119"/>
      <c r="Q30" s="119"/>
      <c r="R30" s="119"/>
      <c r="S30" s="119" t="s">
        <v>83</v>
      </c>
      <c r="T30" s="119"/>
      <c r="U30" s="158"/>
      <c r="V30" s="158"/>
      <c r="W30" s="158"/>
      <c r="X30" s="158"/>
      <c r="Y30" s="158"/>
      <c r="Z30" s="158"/>
      <c r="AA30" s="158"/>
      <c r="AB30" s="212"/>
      <c r="AC30" s="212"/>
      <c r="AD30" s="212"/>
      <c r="AE30" s="212"/>
      <c r="AF30" s="129"/>
      <c r="AG30" s="128"/>
      <c r="AH30" s="128"/>
      <c r="AI30" s="52"/>
      <c r="AJ30" s="52"/>
      <c r="AK30" s="53"/>
    </row>
    <row r="31" spans="1:37" ht="30" customHeight="1">
      <c r="A31" s="56"/>
      <c r="B31" s="79"/>
      <c r="C31" s="181" t="s">
        <v>119</v>
      </c>
      <c r="D31" s="202"/>
      <c r="E31" s="202"/>
      <c r="F31" s="202"/>
      <c r="G31" s="202"/>
      <c r="H31" s="202"/>
      <c r="I31" s="202"/>
      <c r="J31" s="202"/>
      <c r="K31" s="202"/>
      <c r="L31" s="202"/>
      <c r="M31" s="202"/>
      <c r="N31" s="203"/>
      <c r="O31" s="119"/>
      <c r="P31" s="119"/>
      <c r="Q31" s="119"/>
      <c r="R31" s="119"/>
      <c r="S31" s="119"/>
      <c r="T31" s="119" t="s">
        <v>83</v>
      </c>
      <c r="U31" s="158"/>
      <c r="V31" s="158"/>
      <c r="W31" s="158"/>
      <c r="X31" s="158"/>
      <c r="Y31" s="158"/>
      <c r="Z31" s="158"/>
      <c r="AA31" s="158"/>
      <c r="AB31" s="212"/>
      <c r="AC31" s="212"/>
      <c r="AD31" s="212"/>
      <c r="AE31" s="212"/>
      <c r="AF31" s="129"/>
      <c r="AG31" s="128"/>
      <c r="AH31" s="128"/>
      <c r="AI31" s="52"/>
      <c r="AJ31" s="52"/>
      <c r="AK31" s="53"/>
    </row>
    <row r="32" spans="1:37" ht="15" customHeight="1">
      <c r="B32" s="79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2"/>
      <c r="O32" s="119"/>
      <c r="P32" s="119"/>
      <c r="Q32" s="118"/>
      <c r="R32" s="118"/>
      <c r="S32" s="119"/>
      <c r="T32" s="119"/>
      <c r="U32" s="158"/>
      <c r="V32" s="158"/>
      <c r="W32" s="159"/>
      <c r="X32" s="159"/>
      <c r="Y32" s="158"/>
      <c r="Z32" s="158"/>
      <c r="AA32" s="158"/>
      <c r="AB32" s="212"/>
      <c r="AC32" s="212"/>
      <c r="AD32" s="211"/>
      <c r="AE32" s="212"/>
      <c r="AF32" s="129"/>
      <c r="AG32" s="129"/>
      <c r="AH32" s="128"/>
      <c r="AI32" s="52"/>
      <c r="AJ32" s="52"/>
      <c r="AK32" s="53"/>
    </row>
    <row r="33" spans="1:37" ht="15" customHeight="1">
      <c r="A33" s="102"/>
      <c r="B33" s="96" t="s">
        <v>117</v>
      </c>
      <c r="C33" s="139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1"/>
      <c r="O33" s="119"/>
      <c r="P33" s="119"/>
      <c r="Q33" s="119"/>
      <c r="R33" s="119"/>
      <c r="S33" s="119"/>
      <c r="T33" s="119"/>
      <c r="U33" s="158"/>
      <c r="V33" s="158"/>
      <c r="W33" s="158"/>
      <c r="X33" s="158"/>
      <c r="Y33" s="158"/>
      <c r="Z33" s="158"/>
      <c r="AA33" s="159"/>
      <c r="AB33" s="211"/>
      <c r="AC33" s="211"/>
      <c r="AD33" s="211"/>
      <c r="AE33" s="211"/>
      <c r="AF33" s="128"/>
      <c r="AG33" s="128"/>
      <c r="AH33" s="128"/>
      <c r="AI33" s="52"/>
      <c r="AJ33" s="52"/>
      <c r="AK33" s="17"/>
    </row>
    <row r="34" spans="1:37" ht="15" customHeight="1">
      <c r="A34" s="56"/>
      <c r="B34" s="13"/>
      <c r="C34" s="204" t="s">
        <v>116</v>
      </c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6"/>
      <c r="O34" s="119" t="s">
        <v>83</v>
      </c>
      <c r="P34" s="119" t="s">
        <v>83</v>
      </c>
      <c r="Q34" s="119" t="s">
        <v>83</v>
      </c>
      <c r="R34" s="119" t="s">
        <v>83</v>
      </c>
      <c r="S34" s="119" t="s">
        <v>83</v>
      </c>
      <c r="T34" s="119" t="s">
        <v>83</v>
      </c>
      <c r="U34" s="158" t="s">
        <v>83</v>
      </c>
      <c r="V34" s="158" t="s">
        <v>83</v>
      </c>
      <c r="W34" s="158" t="s">
        <v>83</v>
      </c>
      <c r="X34" s="158" t="s">
        <v>83</v>
      </c>
      <c r="Y34" s="158" t="s">
        <v>83</v>
      </c>
      <c r="Z34" s="158" t="s">
        <v>83</v>
      </c>
      <c r="AA34" s="158" t="s">
        <v>83</v>
      </c>
      <c r="AB34" s="212"/>
      <c r="AC34" s="212"/>
      <c r="AD34" s="212"/>
      <c r="AE34" s="212"/>
      <c r="AF34" s="129" t="s">
        <v>83</v>
      </c>
      <c r="AG34" s="129" t="s">
        <v>83</v>
      </c>
      <c r="AH34" s="129" t="s">
        <v>83</v>
      </c>
      <c r="AI34" s="52"/>
      <c r="AJ34" s="52"/>
      <c r="AK34" s="17"/>
    </row>
    <row r="35" spans="1:37" ht="15" customHeight="1">
      <c r="A35" s="56"/>
      <c r="B35" s="96" t="s">
        <v>137</v>
      </c>
      <c r="C35" s="139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1"/>
      <c r="O35" s="119"/>
      <c r="P35" s="119"/>
      <c r="Q35" s="119"/>
      <c r="R35" s="119"/>
      <c r="S35" s="119"/>
      <c r="T35" s="119"/>
      <c r="U35" s="158"/>
      <c r="V35" s="158"/>
      <c r="W35" s="158"/>
      <c r="X35" s="158"/>
      <c r="Y35" s="158"/>
      <c r="Z35" s="158"/>
      <c r="AA35" s="158"/>
      <c r="AB35" s="212"/>
      <c r="AC35" s="212"/>
      <c r="AD35" s="211"/>
      <c r="AE35" s="211"/>
      <c r="AF35" s="128"/>
      <c r="AG35" s="128"/>
      <c r="AH35" s="128"/>
      <c r="AI35" s="52"/>
      <c r="AJ35" s="52"/>
      <c r="AK35" s="17"/>
    </row>
    <row r="36" spans="1:37" ht="30" customHeight="1">
      <c r="A36" s="56"/>
      <c r="B36" s="13"/>
      <c r="C36" s="204" t="s">
        <v>138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6"/>
      <c r="O36" s="119"/>
      <c r="P36" s="119"/>
      <c r="Q36" s="118"/>
      <c r="R36" s="119"/>
      <c r="S36" s="119"/>
      <c r="T36" s="119"/>
      <c r="U36" s="158" t="s">
        <v>83</v>
      </c>
      <c r="V36" s="158" t="s">
        <v>83</v>
      </c>
      <c r="W36" s="158"/>
      <c r="X36" s="158" t="s">
        <v>83</v>
      </c>
      <c r="Y36" s="158" t="s">
        <v>83</v>
      </c>
      <c r="Z36" s="158" t="s">
        <v>83</v>
      </c>
      <c r="AA36" s="158" t="s">
        <v>83</v>
      </c>
      <c r="AB36" s="212"/>
      <c r="AC36" s="211" t="s">
        <v>83</v>
      </c>
      <c r="AD36" s="211" t="s">
        <v>83</v>
      </c>
      <c r="AE36" s="211" t="s">
        <v>83</v>
      </c>
      <c r="AF36" s="129"/>
      <c r="AG36" s="128"/>
      <c r="AH36" s="129" t="s">
        <v>83</v>
      </c>
      <c r="AI36" s="52"/>
      <c r="AJ36" s="52"/>
      <c r="AK36" s="53"/>
    </row>
    <row r="37" spans="1:37" ht="15" customHeight="1">
      <c r="A37" s="56"/>
      <c r="B37" s="96" t="s">
        <v>135</v>
      </c>
      <c r="C37" s="139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1"/>
      <c r="O37" s="119"/>
      <c r="P37" s="119"/>
      <c r="Q37" s="119"/>
      <c r="R37" s="119"/>
      <c r="S37" s="119"/>
      <c r="T37" s="119"/>
      <c r="U37" s="158"/>
      <c r="V37" s="158"/>
      <c r="W37" s="158"/>
      <c r="X37" s="158"/>
      <c r="Y37" s="158"/>
      <c r="Z37" s="159"/>
      <c r="AA37" s="158"/>
      <c r="AB37" s="212"/>
      <c r="AC37" s="211"/>
      <c r="AD37" s="211"/>
      <c r="AE37" s="212"/>
      <c r="AF37" s="129"/>
      <c r="AG37" s="128"/>
      <c r="AH37" s="128"/>
      <c r="AI37" s="52"/>
      <c r="AJ37" s="52"/>
      <c r="AK37" s="17"/>
    </row>
    <row r="38" spans="1:37" ht="28.5" customHeight="1">
      <c r="A38" s="56"/>
      <c r="B38" s="13"/>
      <c r="C38" s="204" t="s">
        <v>136</v>
      </c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6"/>
      <c r="O38" s="119"/>
      <c r="P38" s="119"/>
      <c r="Q38" s="119"/>
      <c r="R38" s="119"/>
      <c r="S38" s="119"/>
      <c r="T38" s="119"/>
      <c r="U38" s="158"/>
      <c r="V38" s="158"/>
      <c r="W38" s="158" t="s">
        <v>83</v>
      </c>
      <c r="X38" s="158"/>
      <c r="Y38" s="158" t="s">
        <v>83</v>
      </c>
      <c r="Z38" s="158" t="s">
        <v>83</v>
      </c>
      <c r="AA38" s="158" t="s">
        <v>83</v>
      </c>
      <c r="AB38" s="211" t="s">
        <v>83</v>
      </c>
      <c r="AC38" s="211"/>
      <c r="AD38" s="211"/>
      <c r="AE38" s="212"/>
      <c r="AF38" s="129"/>
      <c r="AG38" s="129" t="s">
        <v>83</v>
      </c>
      <c r="AH38" s="128"/>
      <c r="AI38" s="52"/>
      <c r="AJ38" s="52"/>
      <c r="AK38" s="17"/>
    </row>
    <row r="39" spans="1:37" ht="15" customHeight="1">
      <c r="A39" s="56"/>
      <c r="B39" s="79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8"/>
      <c r="O39" s="119"/>
      <c r="P39" s="119"/>
      <c r="Q39" s="119"/>
      <c r="R39" s="119"/>
      <c r="S39" s="119"/>
      <c r="T39" s="119"/>
      <c r="U39" s="158"/>
      <c r="V39" s="158"/>
      <c r="W39" s="158"/>
      <c r="X39" s="159"/>
      <c r="Y39" s="158"/>
      <c r="Z39" s="158"/>
      <c r="AA39" s="158"/>
      <c r="AB39" s="212"/>
      <c r="AC39" s="211"/>
      <c r="AD39" s="212"/>
      <c r="AE39" s="211"/>
      <c r="AF39" s="128"/>
      <c r="AG39" s="128"/>
      <c r="AH39" s="128"/>
      <c r="AI39" s="52"/>
      <c r="AJ39" s="52"/>
      <c r="AK39" s="17"/>
    </row>
    <row r="40" spans="1:37" ht="15" customHeight="1">
      <c r="B40" s="96" t="s">
        <v>73</v>
      </c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8"/>
      <c r="O40" s="119"/>
      <c r="P40" s="119"/>
      <c r="Q40" s="119"/>
      <c r="R40" s="119"/>
      <c r="S40" s="119"/>
      <c r="T40" s="119"/>
      <c r="U40" s="158"/>
      <c r="V40" s="158"/>
      <c r="W40" s="158"/>
      <c r="X40" s="158"/>
      <c r="Y40" s="158"/>
      <c r="Z40" s="158"/>
      <c r="AA40" s="158"/>
      <c r="AB40" s="212"/>
      <c r="AC40" s="212"/>
      <c r="AD40" s="211"/>
      <c r="AE40" s="212"/>
      <c r="AF40" s="129"/>
      <c r="AG40" s="129"/>
      <c r="AH40" s="128"/>
      <c r="AI40" s="52"/>
      <c r="AJ40" s="52"/>
      <c r="AK40" s="53"/>
    </row>
    <row r="41" spans="1:37" ht="15" customHeight="1">
      <c r="A41" s="56"/>
      <c r="B41" s="80"/>
      <c r="C41" s="92" t="s">
        <v>74</v>
      </c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8"/>
      <c r="O41" s="119" t="s">
        <v>83</v>
      </c>
      <c r="P41" s="119" t="s">
        <v>83</v>
      </c>
      <c r="Q41" s="119" t="s">
        <v>83</v>
      </c>
      <c r="R41" s="119" t="s">
        <v>83</v>
      </c>
      <c r="S41" s="119" t="s">
        <v>83</v>
      </c>
      <c r="T41" s="119" t="s">
        <v>83</v>
      </c>
      <c r="U41" s="158" t="s">
        <v>83</v>
      </c>
      <c r="V41" s="158" t="s">
        <v>83</v>
      </c>
      <c r="W41" s="158" t="s">
        <v>83</v>
      </c>
      <c r="X41" s="158" t="s">
        <v>83</v>
      </c>
      <c r="Y41" s="158" t="s">
        <v>83</v>
      </c>
      <c r="Z41" s="158" t="s">
        <v>83</v>
      </c>
      <c r="AA41" s="158" t="s">
        <v>83</v>
      </c>
      <c r="AB41" s="211" t="s">
        <v>83</v>
      </c>
      <c r="AC41" s="211" t="s">
        <v>83</v>
      </c>
      <c r="AD41" s="211" t="s">
        <v>83</v>
      </c>
      <c r="AE41" s="211" t="s">
        <v>83</v>
      </c>
      <c r="AF41" s="129"/>
      <c r="AG41" s="129" t="s">
        <v>83</v>
      </c>
      <c r="AH41" s="129" t="s">
        <v>83</v>
      </c>
      <c r="AI41" s="52"/>
      <c r="AJ41" s="52"/>
      <c r="AK41" s="53"/>
    </row>
    <row r="42" spans="1:37" ht="15" customHeight="1">
      <c r="A42" s="56"/>
      <c r="B42" s="79"/>
      <c r="C42" s="92" t="s">
        <v>75</v>
      </c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8"/>
      <c r="O42" s="119"/>
      <c r="P42" s="119"/>
      <c r="Q42" s="119"/>
      <c r="R42" s="119"/>
      <c r="S42" s="119"/>
      <c r="T42" s="119"/>
      <c r="U42" s="158"/>
      <c r="V42" s="158"/>
      <c r="W42" s="158"/>
      <c r="X42" s="158"/>
      <c r="Y42" s="158"/>
      <c r="Z42" s="158"/>
      <c r="AA42" s="158"/>
      <c r="AB42" s="212"/>
      <c r="AC42" s="212"/>
      <c r="AD42" s="211"/>
      <c r="AE42" s="212"/>
      <c r="AF42" s="129" t="s">
        <v>83</v>
      </c>
      <c r="AG42" s="129"/>
      <c r="AH42" s="128"/>
      <c r="AI42" s="52"/>
      <c r="AJ42" s="52"/>
      <c r="AK42" s="53"/>
    </row>
    <row r="43" spans="1:37" ht="15" customHeight="1">
      <c r="A43" s="56"/>
      <c r="B43" s="96" t="s">
        <v>140</v>
      </c>
      <c r="C43" s="137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10"/>
      <c r="O43" s="119"/>
      <c r="P43" s="119"/>
      <c r="Q43" s="119"/>
      <c r="R43" s="119"/>
      <c r="S43" s="119"/>
      <c r="T43" s="119"/>
      <c r="U43" s="158"/>
      <c r="V43" s="158"/>
      <c r="W43" s="158"/>
      <c r="X43" s="158"/>
      <c r="Y43" s="158"/>
      <c r="Z43" s="158"/>
      <c r="AA43" s="158"/>
      <c r="AB43" s="212"/>
      <c r="AC43" s="212"/>
      <c r="AD43" s="211"/>
      <c r="AE43" s="211"/>
      <c r="AF43" s="128"/>
      <c r="AG43" s="128"/>
      <c r="AH43" s="128"/>
      <c r="AI43" s="52"/>
      <c r="AJ43" s="52"/>
      <c r="AK43" s="17"/>
    </row>
    <row r="44" spans="1:37" ht="15" customHeight="1">
      <c r="A44" s="56"/>
      <c r="B44" s="80"/>
      <c r="C44" s="92" t="s">
        <v>74</v>
      </c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8"/>
      <c r="O44" s="119" t="s">
        <v>83</v>
      </c>
      <c r="P44" s="119" t="s">
        <v>83</v>
      </c>
      <c r="Q44" s="119" t="s">
        <v>83</v>
      </c>
      <c r="R44" s="119" t="s">
        <v>83</v>
      </c>
      <c r="S44" s="119" t="s">
        <v>83</v>
      </c>
      <c r="T44" s="119" t="s">
        <v>83</v>
      </c>
      <c r="U44" s="158" t="s">
        <v>83</v>
      </c>
      <c r="V44" s="158" t="s">
        <v>83</v>
      </c>
      <c r="W44" s="158" t="s">
        <v>83</v>
      </c>
      <c r="X44" s="158" t="s">
        <v>83</v>
      </c>
      <c r="Y44" s="158" t="s">
        <v>83</v>
      </c>
      <c r="Z44" s="158" t="s">
        <v>83</v>
      </c>
      <c r="AA44" s="158" t="s">
        <v>83</v>
      </c>
      <c r="AB44" s="211" t="s">
        <v>83</v>
      </c>
      <c r="AC44" s="211" t="s">
        <v>83</v>
      </c>
      <c r="AD44" s="211" t="s">
        <v>83</v>
      </c>
      <c r="AE44" s="211" t="s">
        <v>83</v>
      </c>
      <c r="AF44" s="129" t="s">
        <v>83</v>
      </c>
      <c r="AG44" s="129" t="s">
        <v>83</v>
      </c>
      <c r="AH44" s="128"/>
      <c r="AI44" s="52"/>
      <c r="AJ44" s="52"/>
      <c r="AK44" s="53"/>
    </row>
    <row r="45" spans="1:37" ht="15" customHeight="1">
      <c r="A45" s="56"/>
      <c r="B45" s="79"/>
      <c r="C45" s="92" t="s">
        <v>75</v>
      </c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8"/>
      <c r="O45" s="119"/>
      <c r="P45" s="119"/>
      <c r="Q45" s="119"/>
      <c r="R45" s="119"/>
      <c r="S45" s="119"/>
      <c r="T45" s="119"/>
      <c r="U45" s="158"/>
      <c r="V45" s="158"/>
      <c r="W45" s="158"/>
      <c r="X45" s="158"/>
      <c r="Y45" s="158"/>
      <c r="Z45" s="158"/>
      <c r="AA45" s="158"/>
      <c r="AB45" s="212"/>
      <c r="AC45" s="212"/>
      <c r="AD45" s="212"/>
      <c r="AE45" s="212"/>
      <c r="AF45" s="129"/>
      <c r="AG45" s="129"/>
      <c r="AH45" s="129" t="s">
        <v>83</v>
      </c>
      <c r="AI45" s="52"/>
      <c r="AJ45" s="52"/>
      <c r="AK45" s="53"/>
    </row>
    <row r="46" spans="1:37" ht="15" customHeight="1">
      <c r="B46" s="96" t="s">
        <v>139</v>
      </c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10"/>
      <c r="O46" s="119"/>
      <c r="P46" s="119"/>
      <c r="Q46" s="119"/>
      <c r="R46" s="119"/>
      <c r="S46" s="119"/>
      <c r="T46" s="119"/>
      <c r="U46" s="158"/>
      <c r="V46" s="158"/>
      <c r="W46" s="158"/>
      <c r="X46" s="158"/>
      <c r="Y46" s="158"/>
      <c r="Z46" s="159"/>
      <c r="AA46" s="158"/>
      <c r="AB46" s="212"/>
      <c r="AC46" s="211"/>
      <c r="AD46" s="211"/>
      <c r="AE46" s="212"/>
      <c r="AF46" s="129"/>
      <c r="AG46" s="128"/>
      <c r="AH46" s="128"/>
      <c r="AI46" s="52"/>
      <c r="AJ46" s="52"/>
      <c r="AK46" s="17"/>
    </row>
    <row r="47" spans="1:37" ht="15" customHeight="1">
      <c r="B47" s="80"/>
      <c r="C47" s="92" t="s">
        <v>74</v>
      </c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8"/>
      <c r="O47" s="119" t="s">
        <v>83</v>
      </c>
      <c r="P47" s="119" t="s">
        <v>83</v>
      </c>
      <c r="Q47" s="119" t="s">
        <v>83</v>
      </c>
      <c r="R47" s="119" t="s">
        <v>83</v>
      </c>
      <c r="S47" s="119" t="s">
        <v>83</v>
      </c>
      <c r="T47" s="119" t="s">
        <v>83</v>
      </c>
      <c r="U47" s="158" t="s">
        <v>83</v>
      </c>
      <c r="V47" s="158" t="s">
        <v>83</v>
      </c>
      <c r="W47" s="158" t="s">
        <v>83</v>
      </c>
      <c r="X47" s="158" t="s">
        <v>83</v>
      </c>
      <c r="Y47" s="158" t="s">
        <v>83</v>
      </c>
      <c r="Z47" s="158" t="s">
        <v>83</v>
      </c>
      <c r="AA47" s="158" t="s">
        <v>83</v>
      </c>
      <c r="AB47" s="211" t="s">
        <v>83</v>
      </c>
      <c r="AC47" s="211" t="s">
        <v>83</v>
      </c>
      <c r="AD47" s="211" t="s">
        <v>83</v>
      </c>
      <c r="AE47" s="211" t="s">
        <v>83</v>
      </c>
      <c r="AF47" s="129" t="s">
        <v>83</v>
      </c>
      <c r="AG47" s="128"/>
      <c r="AH47" s="129" t="s">
        <v>83</v>
      </c>
      <c r="AI47" s="52"/>
      <c r="AJ47" s="52"/>
      <c r="AK47" s="17"/>
    </row>
    <row r="48" spans="1:37" ht="15" customHeight="1">
      <c r="B48" s="79"/>
      <c r="C48" s="92" t="s">
        <v>75</v>
      </c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8"/>
      <c r="O48" s="119"/>
      <c r="P48" s="119"/>
      <c r="Q48" s="119"/>
      <c r="R48" s="119"/>
      <c r="S48" s="119"/>
      <c r="T48" s="119"/>
      <c r="U48" s="158"/>
      <c r="V48" s="158"/>
      <c r="W48" s="158"/>
      <c r="X48" s="158"/>
      <c r="Y48" s="158"/>
      <c r="Z48" s="159"/>
      <c r="AA48" s="158"/>
      <c r="AB48" s="212"/>
      <c r="AC48" s="211"/>
      <c r="AD48" s="211"/>
      <c r="AE48" s="212"/>
      <c r="AF48" s="129"/>
      <c r="AG48" s="129" t="s">
        <v>83</v>
      </c>
      <c r="AH48" s="128"/>
      <c r="AI48" s="52"/>
      <c r="AJ48" s="52"/>
      <c r="AK48" s="17"/>
    </row>
    <row r="49" spans="1:37" ht="15" customHeight="1">
      <c r="A49" s="103"/>
      <c r="B49" s="79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2"/>
      <c r="O49" s="119"/>
      <c r="P49" s="119"/>
      <c r="Q49" s="119"/>
      <c r="R49" s="119"/>
      <c r="S49" s="119"/>
      <c r="T49" s="119"/>
      <c r="U49" s="158"/>
      <c r="V49" s="158"/>
      <c r="W49" s="158"/>
      <c r="X49" s="158"/>
      <c r="Y49" s="158"/>
      <c r="Z49" s="158"/>
      <c r="AA49" s="158"/>
      <c r="AB49" s="212"/>
      <c r="AC49" s="212"/>
      <c r="AD49" s="212"/>
      <c r="AE49" s="212"/>
      <c r="AF49" s="129"/>
      <c r="AG49" s="129"/>
      <c r="AH49" s="129"/>
      <c r="AI49" s="52"/>
      <c r="AJ49" s="52"/>
      <c r="AK49" s="53"/>
    </row>
    <row r="50" spans="1:37" ht="15" customHeight="1">
      <c r="A50" s="56"/>
      <c r="B50" s="80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10"/>
      <c r="O50" s="119"/>
      <c r="P50" s="119"/>
      <c r="Q50" s="119"/>
      <c r="R50" s="119"/>
      <c r="S50" s="119"/>
      <c r="T50" s="119"/>
      <c r="U50" s="158"/>
      <c r="V50" s="158"/>
      <c r="W50" s="158"/>
      <c r="X50" s="158"/>
      <c r="Y50" s="158"/>
      <c r="Z50" s="159"/>
      <c r="AA50" s="158"/>
      <c r="AB50" s="212"/>
      <c r="AC50" s="211"/>
      <c r="AD50" s="211"/>
      <c r="AE50" s="212"/>
      <c r="AF50" s="129"/>
      <c r="AG50" s="128"/>
      <c r="AH50" s="128"/>
      <c r="AI50" s="52"/>
      <c r="AJ50" s="52"/>
      <c r="AK50" s="17"/>
    </row>
    <row r="51" spans="1:37" ht="15" customHeight="1">
      <c r="A51" s="56" t="s">
        <v>112</v>
      </c>
      <c r="B51" s="92" t="s">
        <v>149</v>
      </c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53"/>
      <c r="O51" s="119" t="s">
        <v>83</v>
      </c>
      <c r="P51" s="119" t="s">
        <v>83</v>
      </c>
      <c r="Q51" s="119" t="s">
        <v>83</v>
      </c>
      <c r="R51" s="119" t="s">
        <v>83</v>
      </c>
      <c r="S51" s="119" t="s">
        <v>83</v>
      </c>
      <c r="T51" s="119" t="s">
        <v>83</v>
      </c>
      <c r="U51" s="158" t="s">
        <v>83</v>
      </c>
      <c r="V51" s="158" t="s">
        <v>83</v>
      </c>
      <c r="W51" s="158" t="s">
        <v>83</v>
      </c>
      <c r="X51" s="158" t="s">
        <v>83</v>
      </c>
      <c r="Y51" s="158" t="s">
        <v>83</v>
      </c>
      <c r="Z51" s="158" t="s">
        <v>83</v>
      </c>
      <c r="AA51" s="158" t="s">
        <v>83</v>
      </c>
      <c r="AB51" s="211" t="s">
        <v>83</v>
      </c>
      <c r="AC51" s="211" t="s">
        <v>83</v>
      </c>
      <c r="AD51" s="211" t="s">
        <v>83</v>
      </c>
      <c r="AE51" s="211" t="s">
        <v>83</v>
      </c>
      <c r="AF51" s="129"/>
      <c r="AG51" s="128"/>
      <c r="AH51" s="128"/>
      <c r="AI51" s="52"/>
      <c r="AJ51" s="52"/>
      <c r="AK51" s="17"/>
    </row>
    <row r="52" spans="1:37" ht="15" customHeight="1">
      <c r="A52" s="152" t="s">
        <v>131</v>
      </c>
      <c r="B52" s="80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19"/>
      <c r="P52" s="119"/>
      <c r="Q52" s="119"/>
      <c r="R52" s="119"/>
      <c r="S52" s="119"/>
      <c r="T52" s="119"/>
      <c r="U52" s="158"/>
      <c r="V52" s="158"/>
      <c r="W52" s="158"/>
      <c r="X52" s="158"/>
      <c r="Y52" s="158"/>
      <c r="Z52" s="158"/>
      <c r="AA52" s="158"/>
      <c r="AB52" s="212"/>
      <c r="AC52" s="212"/>
      <c r="AD52" s="211"/>
      <c r="AE52" s="211"/>
      <c r="AF52" s="128"/>
      <c r="AG52" s="128"/>
      <c r="AH52" s="128"/>
      <c r="AI52" s="52"/>
      <c r="AJ52" s="52"/>
      <c r="AK52" s="17"/>
    </row>
    <row r="53" spans="1:37" ht="15" customHeight="1">
      <c r="A53" s="56" t="s">
        <v>120</v>
      </c>
      <c r="B53" s="96" t="s">
        <v>143</v>
      </c>
      <c r="C53" s="101"/>
      <c r="D53" s="101"/>
      <c r="E53" s="137"/>
      <c r="F53" s="137"/>
      <c r="G53" s="137"/>
      <c r="H53" s="137"/>
      <c r="I53" s="137"/>
      <c r="J53" s="137"/>
      <c r="K53" s="137"/>
      <c r="L53" s="137"/>
      <c r="M53" s="137"/>
      <c r="N53" s="138"/>
      <c r="O53" s="119"/>
      <c r="P53" s="119"/>
      <c r="Q53" s="119"/>
      <c r="R53" s="119"/>
      <c r="S53" s="119"/>
      <c r="T53" s="119"/>
      <c r="U53" s="158"/>
      <c r="V53" s="158"/>
      <c r="W53" s="158"/>
      <c r="X53" s="158"/>
      <c r="Y53" s="158"/>
      <c r="Z53" s="159"/>
      <c r="AA53" s="158"/>
      <c r="AB53" s="212"/>
      <c r="AC53" s="211"/>
      <c r="AD53" s="211"/>
      <c r="AE53" s="212"/>
      <c r="AF53" s="129"/>
      <c r="AG53" s="128"/>
      <c r="AH53" s="128"/>
      <c r="AI53" s="52"/>
      <c r="AJ53" s="52"/>
      <c r="AK53" s="17"/>
    </row>
    <row r="54" spans="1:37" ht="15" customHeight="1">
      <c r="A54" s="152" t="s">
        <v>150</v>
      </c>
      <c r="B54" s="80"/>
      <c r="C54" s="154" t="s">
        <v>144</v>
      </c>
      <c r="D54" s="155"/>
      <c r="E54" s="155"/>
      <c r="F54" s="155"/>
      <c r="G54" s="155"/>
      <c r="H54" s="155"/>
      <c r="I54" s="155"/>
      <c r="J54" s="155"/>
      <c r="K54" s="155"/>
      <c r="L54" s="155"/>
      <c r="M54" s="155"/>
      <c r="N54" s="156"/>
      <c r="O54" s="119"/>
      <c r="P54" s="119"/>
      <c r="Q54" s="119"/>
      <c r="R54" s="119"/>
      <c r="S54" s="119"/>
      <c r="T54" s="119"/>
      <c r="U54" s="158"/>
      <c r="V54" s="158"/>
      <c r="W54" s="158"/>
      <c r="X54" s="158"/>
      <c r="Y54" s="158"/>
      <c r="Z54" s="159"/>
      <c r="AA54" s="159"/>
      <c r="AB54" s="211"/>
      <c r="AC54" s="211"/>
      <c r="AD54" s="211"/>
      <c r="AE54" s="211"/>
      <c r="AF54" s="128"/>
      <c r="AG54" s="128"/>
      <c r="AH54" s="128"/>
      <c r="AI54" s="52"/>
      <c r="AJ54" s="52"/>
      <c r="AK54" s="17"/>
    </row>
    <row r="55" spans="1:37" ht="15" customHeight="1">
      <c r="A55" s="56"/>
      <c r="B55" s="80"/>
      <c r="C55" s="80"/>
      <c r="D55" s="92" t="s">
        <v>145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8"/>
      <c r="O55" s="119"/>
      <c r="P55" s="119"/>
      <c r="Q55" s="119"/>
      <c r="R55" s="119"/>
      <c r="S55" s="119"/>
      <c r="T55" s="119"/>
      <c r="U55" s="158"/>
      <c r="V55" s="158"/>
      <c r="W55" s="158"/>
      <c r="X55" s="158"/>
      <c r="Y55" s="158"/>
      <c r="Z55" s="158"/>
      <c r="AA55" s="158"/>
      <c r="AB55" s="212"/>
      <c r="AC55" s="212"/>
      <c r="AD55" s="211"/>
      <c r="AE55" s="211"/>
      <c r="AF55" s="129" t="s">
        <v>83</v>
      </c>
      <c r="AG55" s="128"/>
      <c r="AH55" s="128"/>
      <c r="AI55" s="52"/>
      <c r="AJ55" s="52"/>
      <c r="AK55" s="17"/>
    </row>
    <row r="56" spans="1:37" ht="15" customHeight="1">
      <c r="A56" s="56"/>
      <c r="B56" s="80"/>
      <c r="C56" s="80"/>
      <c r="D56" s="92" t="s">
        <v>146</v>
      </c>
      <c r="E56" s="137"/>
      <c r="F56" s="137"/>
      <c r="G56" s="137"/>
      <c r="H56" s="137"/>
      <c r="I56" s="137"/>
      <c r="J56" s="137"/>
      <c r="K56" s="137"/>
      <c r="L56" s="137"/>
      <c r="M56" s="137"/>
      <c r="N56" s="138"/>
      <c r="O56" s="119"/>
      <c r="P56" s="119"/>
      <c r="Q56" s="119"/>
      <c r="R56" s="119"/>
      <c r="S56" s="119"/>
      <c r="T56" s="119"/>
      <c r="U56" s="158"/>
      <c r="V56" s="158"/>
      <c r="W56" s="158"/>
      <c r="X56" s="158"/>
      <c r="Y56" s="158"/>
      <c r="Z56" s="158"/>
      <c r="AA56" s="158"/>
      <c r="AB56" s="212"/>
      <c r="AC56" s="212"/>
      <c r="AD56" s="211"/>
      <c r="AE56" s="211"/>
      <c r="AF56" s="128"/>
      <c r="AG56" s="129" t="s">
        <v>83</v>
      </c>
      <c r="AH56" s="128"/>
      <c r="AI56" s="52"/>
      <c r="AJ56" s="52"/>
      <c r="AK56" s="17"/>
    </row>
    <row r="57" spans="1:37" ht="15" customHeight="1">
      <c r="A57" s="56"/>
      <c r="B57" s="80"/>
      <c r="C57" s="80"/>
      <c r="D57" s="92" t="s">
        <v>147</v>
      </c>
      <c r="E57" s="137"/>
      <c r="F57" s="137"/>
      <c r="G57" s="137"/>
      <c r="H57" s="137"/>
      <c r="I57" s="137"/>
      <c r="J57" s="137"/>
      <c r="K57" s="137"/>
      <c r="L57" s="137"/>
      <c r="M57" s="137"/>
      <c r="N57" s="138"/>
      <c r="O57" s="119"/>
      <c r="P57" s="119"/>
      <c r="Q57" s="119"/>
      <c r="R57" s="119"/>
      <c r="S57" s="119"/>
      <c r="T57" s="119"/>
      <c r="U57" s="158"/>
      <c r="V57" s="158"/>
      <c r="W57" s="158"/>
      <c r="X57" s="158"/>
      <c r="Y57" s="158"/>
      <c r="Z57" s="158"/>
      <c r="AA57" s="158"/>
      <c r="AB57" s="212"/>
      <c r="AC57" s="211"/>
      <c r="AD57" s="212"/>
      <c r="AE57" s="211"/>
      <c r="AF57" s="128"/>
      <c r="AG57" s="128"/>
      <c r="AH57" s="129" t="s">
        <v>83</v>
      </c>
      <c r="AI57" s="52"/>
      <c r="AJ57" s="52"/>
      <c r="AK57" s="17"/>
    </row>
    <row r="58" spans="1:37" ht="15" customHeight="1">
      <c r="A58" s="56"/>
      <c r="B58" s="79"/>
      <c r="C58" s="79"/>
      <c r="D58" s="92" t="s">
        <v>148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8"/>
      <c r="O58" s="119" t="s">
        <v>83</v>
      </c>
      <c r="P58" s="119" t="s">
        <v>83</v>
      </c>
      <c r="Q58" s="119" t="s">
        <v>83</v>
      </c>
      <c r="R58" s="119" t="s">
        <v>83</v>
      </c>
      <c r="S58" s="119" t="s">
        <v>83</v>
      </c>
      <c r="T58" s="119" t="s">
        <v>83</v>
      </c>
      <c r="U58" s="158" t="s">
        <v>83</v>
      </c>
      <c r="V58" s="158" t="s">
        <v>83</v>
      </c>
      <c r="W58" s="158" t="s">
        <v>83</v>
      </c>
      <c r="X58" s="158" t="s">
        <v>83</v>
      </c>
      <c r="Y58" s="158" t="s">
        <v>83</v>
      </c>
      <c r="Z58" s="158" t="s">
        <v>83</v>
      </c>
      <c r="AA58" s="158" t="s">
        <v>83</v>
      </c>
      <c r="AB58" s="211" t="s">
        <v>83</v>
      </c>
      <c r="AC58" s="211" t="s">
        <v>83</v>
      </c>
      <c r="AD58" s="211" t="s">
        <v>83</v>
      </c>
      <c r="AE58" s="211" t="s">
        <v>83</v>
      </c>
      <c r="AF58" s="128"/>
      <c r="AG58" s="128"/>
      <c r="AH58" s="128"/>
      <c r="AI58" s="52"/>
      <c r="AJ58" s="52"/>
      <c r="AK58" s="17"/>
    </row>
    <row r="59" spans="1:37" ht="15" customHeight="1">
      <c r="A59" s="56"/>
      <c r="B59" s="80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10"/>
      <c r="O59" s="119"/>
      <c r="P59" s="119"/>
      <c r="Q59" s="118"/>
      <c r="R59" s="118"/>
      <c r="S59" s="119"/>
      <c r="T59" s="119"/>
      <c r="U59" s="158"/>
      <c r="V59" s="158"/>
      <c r="W59" s="159"/>
      <c r="X59" s="159"/>
      <c r="Y59" s="158"/>
      <c r="Z59" s="158"/>
      <c r="AA59" s="158"/>
      <c r="AB59" s="212"/>
      <c r="AC59" s="212"/>
      <c r="AD59" s="211"/>
      <c r="AE59" s="212"/>
      <c r="AF59" s="129"/>
      <c r="AG59" s="129"/>
      <c r="AH59" s="128"/>
      <c r="AI59" s="52"/>
      <c r="AJ59" s="52"/>
      <c r="AK59" s="53"/>
    </row>
    <row r="60" spans="1:37" ht="15" customHeight="1">
      <c r="A60" s="56"/>
      <c r="B60" s="96" t="s">
        <v>142</v>
      </c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8"/>
      <c r="O60" s="119"/>
      <c r="P60" s="119"/>
      <c r="Q60" s="119"/>
      <c r="R60" s="119"/>
      <c r="S60" s="119"/>
      <c r="T60" s="119"/>
      <c r="U60" s="158"/>
      <c r="V60" s="158"/>
      <c r="W60" s="158"/>
      <c r="X60" s="158"/>
      <c r="Y60" s="158"/>
      <c r="Z60" s="158"/>
      <c r="AA60" s="158"/>
      <c r="AB60" s="212"/>
      <c r="AC60" s="211"/>
      <c r="AD60" s="211"/>
      <c r="AE60" s="212"/>
      <c r="AF60" s="129"/>
      <c r="AG60" s="128"/>
      <c r="AH60" s="128"/>
      <c r="AI60" s="52"/>
      <c r="AJ60" s="52"/>
      <c r="AK60" s="17"/>
    </row>
    <row r="61" spans="1:37" ht="15" customHeight="1">
      <c r="A61" s="104"/>
      <c r="B61" s="79"/>
      <c r="C61" s="92" t="s">
        <v>141</v>
      </c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8"/>
      <c r="O61" s="119" t="s">
        <v>83</v>
      </c>
      <c r="P61" s="119" t="s">
        <v>83</v>
      </c>
      <c r="Q61" s="119" t="s">
        <v>83</v>
      </c>
      <c r="R61" s="119" t="s">
        <v>83</v>
      </c>
      <c r="S61" s="119" t="s">
        <v>83</v>
      </c>
      <c r="T61" s="119" t="s">
        <v>83</v>
      </c>
      <c r="U61" s="158" t="s">
        <v>83</v>
      </c>
      <c r="V61" s="158" t="s">
        <v>83</v>
      </c>
      <c r="W61" s="158" t="s">
        <v>83</v>
      </c>
      <c r="X61" s="158" t="s">
        <v>83</v>
      </c>
      <c r="Y61" s="158" t="s">
        <v>83</v>
      </c>
      <c r="Z61" s="158" t="s">
        <v>83</v>
      </c>
      <c r="AA61" s="158" t="s">
        <v>83</v>
      </c>
      <c r="AB61" s="211" t="s">
        <v>83</v>
      </c>
      <c r="AC61" s="211" t="s">
        <v>83</v>
      </c>
      <c r="AD61" s="211" t="s">
        <v>83</v>
      </c>
      <c r="AE61" s="211" t="s">
        <v>83</v>
      </c>
      <c r="AF61" s="129" t="s">
        <v>83</v>
      </c>
      <c r="AG61" s="129" t="s">
        <v>83</v>
      </c>
      <c r="AH61" s="129" t="s">
        <v>83</v>
      </c>
      <c r="AI61" s="52"/>
      <c r="AJ61" s="52"/>
      <c r="AK61" s="17"/>
    </row>
    <row r="62" spans="1:37" ht="15" customHeight="1">
      <c r="A62" s="56"/>
      <c r="B62" s="79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2"/>
      <c r="O62" s="119"/>
      <c r="P62" s="119"/>
      <c r="Q62" s="119"/>
      <c r="R62" s="119"/>
      <c r="S62" s="119"/>
      <c r="T62" s="119"/>
      <c r="U62" s="158"/>
      <c r="V62" s="158"/>
      <c r="W62" s="158"/>
      <c r="X62" s="158"/>
      <c r="Y62" s="158"/>
      <c r="Z62" s="158"/>
      <c r="AA62" s="158"/>
      <c r="AB62" s="212"/>
      <c r="AC62" s="212"/>
      <c r="AD62" s="211"/>
      <c r="AE62" s="211"/>
      <c r="AF62" s="128"/>
      <c r="AG62" s="128"/>
      <c r="AH62" s="128"/>
      <c r="AI62" s="52"/>
      <c r="AJ62" s="52"/>
      <c r="AK62" s="17"/>
    </row>
    <row r="63" spans="1:37" ht="15" customHeight="1">
      <c r="A63" s="10"/>
      <c r="C63" s="19"/>
      <c r="D63" s="184" t="s">
        <v>48</v>
      </c>
      <c r="E63" s="185"/>
      <c r="F63" s="185"/>
      <c r="G63" s="185"/>
      <c r="H63" s="185"/>
      <c r="I63" s="186"/>
      <c r="J63" s="59"/>
      <c r="N63" s="20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2"/>
    </row>
    <row r="64" spans="1:37" ht="15" customHeight="1">
      <c r="A64" s="60"/>
      <c r="B64" s="61"/>
      <c r="C64" s="62"/>
      <c r="D64" s="184"/>
      <c r="E64" s="185"/>
      <c r="F64" s="185"/>
      <c r="G64" s="185"/>
      <c r="H64" s="185"/>
      <c r="I64" s="186"/>
      <c r="J64" s="13"/>
      <c r="K64" s="14"/>
      <c r="L64" s="14"/>
      <c r="M64" s="14"/>
      <c r="N64" s="15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7"/>
    </row>
    <row r="65" spans="1:37" ht="15" customHeight="1">
      <c r="A65" s="18"/>
      <c r="C65" s="19"/>
      <c r="D65" s="184"/>
      <c r="E65" s="185"/>
      <c r="F65" s="185"/>
      <c r="G65" s="185"/>
      <c r="H65" s="185"/>
      <c r="I65" s="186"/>
      <c r="M65" s="19"/>
      <c r="N65" s="20"/>
      <c r="O65" s="68" t="str">
        <f t="shared" ref="O65:AK65" si="0">IF(O66&lt;&gt;"",MONTH(O66),"")</f>
        <v/>
      </c>
      <c r="P65" s="68" t="str">
        <f t="shared" si="0"/>
        <v/>
      </c>
      <c r="Q65" s="68" t="str">
        <f t="shared" si="0"/>
        <v/>
      </c>
      <c r="R65" s="68" t="str">
        <f t="shared" si="0"/>
        <v/>
      </c>
      <c r="S65" s="68" t="str">
        <f t="shared" si="0"/>
        <v/>
      </c>
      <c r="T65" s="68" t="str">
        <f t="shared" si="0"/>
        <v/>
      </c>
      <c r="U65" s="68" t="str">
        <f t="shared" si="0"/>
        <v/>
      </c>
      <c r="V65" s="68" t="str">
        <f t="shared" si="0"/>
        <v/>
      </c>
      <c r="W65" s="68" t="str">
        <f t="shared" si="0"/>
        <v/>
      </c>
      <c r="X65" s="68" t="str">
        <f t="shared" si="0"/>
        <v/>
      </c>
      <c r="Y65" s="68" t="str">
        <f t="shared" si="0"/>
        <v/>
      </c>
      <c r="Z65" s="68" t="str">
        <f t="shared" si="0"/>
        <v/>
      </c>
      <c r="AA65" s="68" t="str">
        <f t="shared" si="0"/>
        <v/>
      </c>
      <c r="AB65" s="68" t="str">
        <f t="shared" si="0"/>
        <v/>
      </c>
      <c r="AC65" s="68" t="str">
        <f t="shared" si="0"/>
        <v/>
      </c>
      <c r="AD65" s="68" t="str">
        <f t="shared" si="0"/>
        <v/>
      </c>
      <c r="AE65" s="68" t="str">
        <f t="shared" si="0"/>
        <v/>
      </c>
      <c r="AF65" s="68" t="str">
        <f t="shared" si="0"/>
        <v/>
      </c>
      <c r="AG65" s="68" t="str">
        <f t="shared" si="0"/>
        <v/>
      </c>
      <c r="AH65" s="68" t="str">
        <f t="shared" si="0"/>
        <v/>
      </c>
      <c r="AI65" s="68" t="str">
        <f t="shared" si="0"/>
        <v/>
      </c>
      <c r="AJ65" s="68" t="str">
        <f t="shared" si="0"/>
        <v/>
      </c>
      <c r="AK65" s="69" t="str">
        <f t="shared" si="0"/>
        <v/>
      </c>
    </row>
    <row r="66" spans="1:37" ht="15" customHeight="1">
      <c r="A66" s="21"/>
      <c r="B66" s="14"/>
      <c r="C66" s="22"/>
      <c r="D66" s="187"/>
      <c r="E66" s="188"/>
      <c r="F66" s="188"/>
      <c r="G66" s="188"/>
      <c r="H66" s="188"/>
      <c r="I66" s="189"/>
      <c r="M66" s="19"/>
      <c r="N66" s="15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1"/>
    </row>
    <row r="67" spans="1:37" ht="15" customHeight="1">
      <c r="A67" s="167" t="s">
        <v>43</v>
      </c>
      <c r="B67" s="168"/>
      <c r="C67" s="169"/>
      <c r="D67" s="177"/>
      <c r="E67" s="175"/>
      <c r="F67" s="175"/>
      <c r="G67" s="175"/>
      <c r="H67" s="175"/>
      <c r="I67" s="176"/>
      <c r="M67" s="19"/>
      <c r="N67" s="20"/>
      <c r="O67" s="68" t="str">
        <f t="shared" ref="O67:AK67" si="1">IF(O68&lt;&gt;"",MONTH(O68),"")</f>
        <v/>
      </c>
      <c r="P67" s="68" t="str">
        <f t="shared" si="1"/>
        <v/>
      </c>
      <c r="Q67" s="68" t="str">
        <f t="shared" si="1"/>
        <v/>
      </c>
      <c r="R67" s="68" t="str">
        <f t="shared" si="1"/>
        <v/>
      </c>
      <c r="S67" s="68" t="str">
        <f t="shared" si="1"/>
        <v/>
      </c>
      <c r="T67" s="68" t="str">
        <f t="shared" si="1"/>
        <v/>
      </c>
      <c r="U67" s="68" t="str">
        <f t="shared" si="1"/>
        <v/>
      </c>
      <c r="V67" s="68" t="str">
        <f t="shared" si="1"/>
        <v/>
      </c>
      <c r="W67" s="68" t="str">
        <f t="shared" si="1"/>
        <v/>
      </c>
      <c r="X67" s="68" t="str">
        <f t="shared" si="1"/>
        <v/>
      </c>
      <c r="Y67" s="68" t="str">
        <f t="shared" si="1"/>
        <v/>
      </c>
      <c r="Z67" s="68" t="str">
        <f t="shared" si="1"/>
        <v/>
      </c>
      <c r="AA67" s="68" t="str">
        <f t="shared" si="1"/>
        <v/>
      </c>
      <c r="AB67" s="68" t="str">
        <f t="shared" si="1"/>
        <v/>
      </c>
      <c r="AC67" s="68" t="str">
        <f t="shared" si="1"/>
        <v/>
      </c>
      <c r="AD67" s="68" t="str">
        <f t="shared" si="1"/>
        <v/>
      </c>
      <c r="AE67" s="68" t="str">
        <f t="shared" si="1"/>
        <v/>
      </c>
      <c r="AF67" s="68" t="str">
        <f t="shared" si="1"/>
        <v/>
      </c>
      <c r="AG67" s="68" t="str">
        <f t="shared" si="1"/>
        <v/>
      </c>
      <c r="AH67" s="68" t="str">
        <f t="shared" si="1"/>
        <v/>
      </c>
      <c r="AI67" s="68" t="str">
        <f t="shared" si="1"/>
        <v/>
      </c>
      <c r="AJ67" s="68" t="str">
        <f t="shared" si="1"/>
        <v/>
      </c>
      <c r="AK67" s="69" t="str">
        <f t="shared" si="1"/>
        <v/>
      </c>
    </row>
    <row r="68" spans="1:37" ht="15" customHeight="1">
      <c r="A68" s="167" t="s">
        <v>44</v>
      </c>
      <c r="B68" s="168"/>
      <c r="C68" s="169"/>
      <c r="D68" s="190"/>
      <c r="E68" s="191"/>
      <c r="F68" s="191"/>
      <c r="G68" s="191"/>
      <c r="H68" s="191"/>
      <c r="I68" s="192"/>
      <c r="J68" s="14"/>
      <c r="K68" s="14"/>
      <c r="L68" s="14"/>
      <c r="M68" s="22"/>
      <c r="N68" s="15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3"/>
    </row>
    <row r="69" spans="1:37" ht="15" customHeight="1">
      <c r="A69" s="167" t="s">
        <v>16</v>
      </c>
      <c r="B69" s="168"/>
      <c r="C69" s="169"/>
      <c r="D69" s="170"/>
      <c r="E69" s="171"/>
      <c r="F69" s="171"/>
      <c r="G69" s="171"/>
      <c r="H69" s="171"/>
      <c r="I69" s="172"/>
      <c r="J69" s="14"/>
      <c r="K69" s="14"/>
      <c r="L69" s="14"/>
      <c r="M69" s="23" t="s">
        <v>17</v>
      </c>
      <c r="N69" s="15"/>
      <c r="O69" s="16" t="s">
        <v>45</v>
      </c>
      <c r="P69" s="16" t="s">
        <v>45</v>
      </c>
      <c r="Q69" s="16" t="s">
        <v>45</v>
      </c>
      <c r="R69" s="16" t="s">
        <v>45</v>
      </c>
      <c r="S69" s="16" t="s">
        <v>45</v>
      </c>
      <c r="T69" s="16" t="s">
        <v>45</v>
      </c>
      <c r="U69" s="16" t="s">
        <v>45</v>
      </c>
      <c r="V69" s="16" t="s">
        <v>45</v>
      </c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7"/>
    </row>
    <row r="70" spans="1:37" ht="15" customHeight="1">
      <c r="A70" s="167" t="s">
        <v>18</v>
      </c>
      <c r="B70" s="168"/>
      <c r="C70" s="169"/>
      <c r="D70" s="173"/>
      <c r="E70" s="168"/>
      <c r="F70" s="168"/>
      <c r="G70" s="168"/>
      <c r="H70" s="168"/>
      <c r="I70" s="169"/>
      <c r="J70" s="14"/>
      <c r="K70" s="14"/>
      <c r="L70" s="14"/>
      <c r="M70" s="23" t="s">
        <v>19</v>
      </c>
      <c r="N70" s="15"/>
      <c r="O70" s="16" t="s">
        <v>46</v>
      </c>
      <c r="P70" s="16" t="s">
        <v>46</v>
      </c>
      <c r="Q70" s="16" t="s">
        <v>46</v>
      </c>
      <c r="R70" s="16" t="s">
        <v>46</v>
      </c>
      <c r="S70" s="16" t="s">
        <v>46</v>
      </c>
      <c r="T70" s="16" t="s">
        <v>46</v>
      </c>
      <c r="U70" s="16" t="s">
        <v>46</v>
      </c>
      <c r="V70" s="16" t="s">
        <v>46</v>
      </c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7"/>
    </row>
    <row r="71" spans="1:37" ht="15" customHeight="1">
      <c r="A71" s="174" t="s">
        <v>20</v>
      </c>
      <c r="B71" s="175"/>
      <c r="C71" s="176"/>
      <c r="D71" s="177" t="s">
        <v>21</v>
      </c>
      <c r="E71" s="175"/>
      <c r="F71" s="175"/>
      <c r="G71" s="175"/>
      <c r="H71" s="175"/>
      <c r="I71" s="176"/>
      <c r="N71" s="20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2"/>
    </row>
    <row r="72" spans="1:37" ht="15" customHeight="1">
      <c r="A72" s="18"/>
      <c r="C72" s="19"/>
      <c r="E72" s="105" t="s">
        <v>22</v>
      </c>
      <c r="H72" s="105" t="s">
        <v>23</v>
      </c>
      <c r="I72" s="19"/>
      <c r="M72" s="105" t="s">
        <v>24</v>
      </c>
      <c r="N72" s="20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2"/>
    </row>
    <row r="73" spans="1:37" ht="15" customHeight="1">
      <c r="A73" s="18"/>
      <c r="C73" s="19"/>
      <c r="I73" s="19"/>
      <c r="J73" s="14"/>
      <c r="K73" s="14"/>
      <c r="L73" s="14"/>
      <c r="M73" s="14"/>
      <c r="N73" s="15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7"/>
    </row>
    <row r="74" spans="1:37" ht="15" customHeight="1">
      <c r="A74" s="161" t="s">
        <v>47</v>
      </c>
      <c r="B74" s="162"/>
      <c r="C74" s="163"/>
      <c r="I74" s="19"/>
      <c r="N74" s="20"/>
      <c r="O74" s="5" t="s">
        <v>40</v>
      </c>
      <c r="P74" s="25"/>
      <c r="Q74" s="25"/>
      <c r="R74" s="25"/>
      <c r="S74" s="25"/>
      <c r="T74" s="25"/>
      <c r="V74" s="19"/>
      <c r="AA74" s="19"/>
      <c r="AF74" s="39" t="s">
        <v>2</v>
      </c>
      <c r="AG74" s="36">
        <f>COUNTIF(O69:AK69,"A")</f>
        <v>8</v>
      </c>
      <c r="AH74" s="40" t="s">
        <v>3</v>
      </c>
      <c r="AI74" s="36">
        <f>COUNTIF(O69:AK69,"B")</f>
        <v>0</v>
      </c>
      <c r="AJ74" s="40" t="s">
        <v>4</v>
      </c>
      <c r="AK74" s="34">
        <f>COUNTIF(O69:AK69,"C")</f>
        <v>0</v>
      </c>
    </row>
    <row r="75" spans="1:37" ht="15" customHeight="1">
      <c r="A75" s="18"/>
      <c r="C75" s="19"/>
      <c r="I75" s="19"/>
      <c r="K75" s="1"/>
      <c r="L75" s="1"/>
      <c r="M75" s="1"/>
      <c r="N75" s="54"/>
      <c r="O75" s="5" t="s">
        <v>41</v>
      </c>
      <c r="Q75" s="26"/>
      <c r="V75" s="19"/>
      <c r="Y75" s="105" t="s">
        <v>25</v>
      </c>
      <c r="AA75" s="19"/>
      <c r="AB75" s="45"/>
      <c r="AC75" s="44">
        <v>1</v>
      </c>
      <c r="AD75" s="33"/>
      <c r="AE75" s="44">
        <v>1</v>
      </c>
      <c r="AF75" s="41" t="s">
        <v>5</v>
      </c>
      <c r="AG75" s="37">
        <f>COUNTIF(M70:AI70,"N")</f>
        <v>8</v>
      </c>
      <c r="AH75" s="42" t="s">
        <v>2</v>
      </c>
      <c r="AI75" s="37">
        <f>COUNTIF(O70:AK70,"A")</f>
        <v>0</v>
      </c>
      <c r="AJ75" s="42" t="s">
        <v>3</v>
      </c>
      <c r="AK75" s="35">
        <f>COUNTIF(O70:AK70,"B")</f>
        <v>0</v>
      </c>
    </row>
    <row r="76" spans="1:37" ht="15" customHeight="1" thickBot="1">
      <c r="A76" s="85"/>
      <c r="B76" s="106"/>
      <c r="C76" s="107"/>
      <c r="D76" s="164"/>
      <c r="E76" s="165"/>
      <c r="F76" s="165"/>
      <c r="G76" s="165"/>
      <c r="H76" s="165"/>
      <c r="I76" s="166"/>
      <c r="J76" s="28"/>
      <c r="K76" s="63"/>
      <c r="L76" s="63"/>
      <c r="M76" s="63"/>
      <c r="N76" s="29"/>
      <c r="O76" s="28"/>
      <c r="P76" s="28"/>
      <c r="Q76" s="28"/>
      <c r="R76" s="28"/>
      <c r="S76" s="28"/>
      <c r="T76" s="28"/>
      <c r="U76" s="28"/>
      <c r="V76" s="27"/>
      <c r="W76" s="28"/>
      <c r="X76" s="28"/>
      <c r="Y76" s="28"/>
      <c r="Z76" s="28"/>
      <c r="AA76" s="27"/>
      <c r="AB76" s="28"/>
      <c r="AC76" s="28"/>
      <c r="AD76" s="28"/>
      <c r="AE76" s="28"/>
      <c r="AF76" s="32" t="s">
        <v>6</v>
      </c>
      <c r="AG76" s="28"/>
      <c r="AH76" s="38"/>
      <c r="AI76" s="43">
        <f>SUM(AF74:AK74)</f>
        <v>8</v>
      </c>
      <c r="AJ76" s="28"/>
      <c r="AK76" s="30"/>
    </row>
  </sheetData>
  <mergeCells count="20">
    <mergeCell ref="A70:C70"/>
    <mergeCell ref="D70:I70"/>
    <mergeCell ref="A71:C71"/>
    <mergeCell ref="D71:I71"/>
    <mergeCell ref="A74:C74"/>
    <mergeCell ref="D76:F76"/>
    <mergeCell ref="G76:I76"/>
    <mergeCell ref="D63:I66"/>
    <mergeCell ref="A67:C67"/>
    <mergeCell ref="D67:I67"/>
    <mergeCell ref="A68:C68"/>
    <mergeCell ref="D68:I68"/>
    <mergeCell ref="A69:C69"/>
    <mergeCell ref="D69:I69"/>
    <mergeCell ref="C30:N30"/>
    <mergeCell ref="C31:N31"/>
    <mergeCell ref="C34:N34"/>
    <mergeCell ref="C36:N36"/>
    <mergeCell ref="C38:N38"/>
    <mergeCell ref="C39:N39"/>
  </mergeCells>
  <phoneticPr fontId="16"/>
  <printOptions verticalCentered="1" gridLinesSet="0"/>
  <pageMargins left="0.59055118110236227" right="0.31496062992125984" top="0.39370078740157483" bottom="0.39370078740157483" header="0.51181102362204722" footer="0.39370078740157483"/>
  <pageSetup paperSize="9" scale="74" orientation="portrait" horizontalDpi="4294967292" verticalDpi="4294967292" r:id="rId1"/>
  <headerFooter alignWithMargins="0">
    <oddFooter>&amp;R&amp;"ＭＳ 明朝,斜体"&amp;8All Rights Reserved,Copy Right 2002,Hitachi Software Engineering Co.,Ltd.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737" r:id="rId4" name="Button 1">
              <controlPr defaultSize="0" print="0" autoFill="0" autoLine="0" autoPict="0" macro="[0]!リスト5_Change">
                <anchor moveWithCells="1" sizeWithCells="1">
                  <from>
                    <xdr:col>0</xdr:col>
                    <xdr:colOff>76200</xdr:colOff>
                    <xdr:row>76</xdr:row>
                    <xdr:rowOff>114300</xdr:rowOff>
                  </from>
                  <to>
                    <xdr:col>5</xdr:col>
                    <xdr:colOff>142875</xdr:colOff>
                    <xdr:row>78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8" r:id="rId5" name="Button 2">
              <controlPr defaultSize="0" print="0" autoFill="0" autoLine="0" autoPict="0" macro="[0]!DrawCheck.DrawCheck">
                <anchor moveWithCells="1" sizeWithCells="1">
                  <from>
                    <xdr:col>11</xdr:col>
                    <xdr:colOff>180975</xdr:colOff>
                    <xdr:row>1</xdr:row>
                    <xdr:rowOff>762000</xdr:rowOff>
                  </from>
                  <to>
                    <xdr:col>13</xdr:col>
                    <xdr:colOff>476250</xdr:colOff>
                    <xdr:row>1</xdr:row>
                    <xdr:rowOff>1066800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9" r:id="rId6" name="Button 3">
              <controlPr defaultSize="0" print="0" autoFill="0" autoLine="0" autoPict="0" macro="[0]!Cancel_Click">
                <anchor moveWithCells="1" sizeWithCells="1">
                  <from>
                    <xdr:col>11</xdr:col>
                    <xdr:colOff>180975</xdr:colOff>
                    <xdr:row>1</xdr:row>
                    <xdr:rowOff>419100</xdr:rowOff>
                  </from>
                  <to>
                    <xdr:col>13</xdr:col>
                    <xdr:colOff>476250</xdr:colOff>
                    <xdr:row>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0" r:id="rId7" name="Button 4">
              <controlPr defaultSize="0" print="0" autoFill="0" autoLine="0" autoPict="0" macro="[0]!ボタン41_Click">
                <anchor moveWithCells="1" sizeWithCells="1">
                  <from>
                    <xdr:col>1</xdr:col>
                    <xdr:colOff>0</xdr:colOff>
                    <xdr:row>1</xdr:row>
                    <xdr:rowOff>1000125</xdr:rowOff>
                  </from>
                  <to>
                    <xdr:col>4</xdr:col>
                    <xdr:colOff>133350</xdr:colOff>
                    <xdr:row>1</xdr:row>
                    <xdr:rowOff>1352550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1" r:id="rId8" name="Button 5">
              <controlPr defaultSize="0" print="0" autoFill="0" autoLine="0" autoPict="0" macro="[0]!ENTER_A">
                <anchor moveWithCells="1" sizeWithCells="1">
                  <from>
                    <xdr:col>10</xdr:col>
                    <xdr:colOff>209550</xdr:colOff>
                    <xdr:row>1</xdr:row>
                    <xdr:rowOff>1257300</xdr:rowOff>
                  </from>
                  <to>
                    <xdr:col>12</xdr:col>
                    <xdr:colOff>38100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2" r:id="rId9" name="Button 6">
              <controlPr defaultSize="0" print="0" autoFill="0" autoLine="0" autoPict="0" macro="[0]!ENTER_B">
                <anchor moveWithCells="1" sizeWithCells="1">
                  <from>
                    <xdr:col>12</xdr:col>
                    <xdr:colOff>47625</xdr:colOff>
                    <xdr:row>1</xdr:row>
                    <xdr:rowOff>1257300</xdr:rowOff>
                  </from>
                  <to>
                    <xdr:col>13</xdr:col>
                    <xdr:colOff>142875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3" r:id="rId10" name="Button 7">
              <controlPr defaultSize="0" print="0" autoFill="0" autoLine="0" autoPict="0" macro="[0]!ENTER_C">
                <anchor moveWithCells="1" sizeWithCells="1">
                  <from>
                    <xdr:col>13</xdr:col>
                    <xdr:colOff>161925</xdr:colOff>
                    <xdr:row>1</xdr:row>
                    <xdr:rowOff>1257300</xdr:rowOff>
                  </from>
                  <to>
                    <xdr:col>13</xdr:col>
                    <xdr:colOff>485775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4" r:id="rId11" name="Button 8">
              <controlPr defaultSize="0" print="0" autoFill="0" autoLine="0" autoPict="0" macro="[0]!ENTER_N">
                <anchor moveWithCells="1" sizeWithCells="1">
                  <from>
                    <xdr:col>9</xdr:col>
                    <xdr:colOff>95250</xdr:colOff>
                    <xdr:row>1</xdr:row>
                    <xdr:rowOff>1257300</xdr:rowOff>
                  </from>
                  <to>
                    <xdr:col>10</xdr:col>
                    <xdr:colOff>200025</xdr:colOff>
                    <xdr:row>1</xdr:row>
                    <xdr:rowOff>1524000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3FFF8-78CD-42E2-A9D2-030A1C06EE3C}">
  <sheetPr codeName="Sheet54">
    <pageSetUpPr fitToPage="1"/>
  </sheetPr>
  <dimension ref="A1:AQ68"/>
  <sheetViews>
    <sheetView showGridLines="0" showOutlineSymbols="0" defaultGridColor="0" colorId="8" zoomScaleNormal="100" workbookViewId="0">
      <pane xSplit="14" ySplit="2" topLeftCell="O3" activePane="bottomRight" state="frozen"/>
      <selection activeCell="I22" sqref="I22"/>
      <selection pane="topRight" activeCell="I22" sqref="I22"/>
      <selection pane="bottomLeft" activeCell="I22" sqref="I22"/>
      <selection pane="bottomRight"/>
    </sheetView>
  </sheetViews>
  <sheetFormatPr defaultColWidth="9.140625" defaultRowHeight="15" customHeight="1"/>
  <cols>
    <col min="1" max="13" width="3.5703125" style="5" customWidth="1"/>
    <col min="14" max="14" width="11.85546875" style="31" customWidth="1"/>
    <col min="15" max="238" width="3.5703125" style="5" customWidth="1"/>
    <col min="239" max="16384" width="9.140625" style="5"/>
  </cols>
  <sheetData>
    <row r="1" spans="1:43" ht="24.95" customHeight="1">
      <c r="A1" s="66" t="s">
        <v>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74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6"/>
    </row>
    <row r="2" spans="1:43" s="9" customFormat="1" ht="135" customHeight="1">
      <c r="A2" s="6"/>
      <c r="N2" s="58"/>
      <c r="O2" s="216" t="s">
        <v>275</v>
      </c>
      <c r="P2" s="216" t="s">
        <v>276</v>
      </c>
      <c r="Q2" s="216" t="s">
        <v>277</v>
      </c>
      <c r="R2" s="216" t="s">
        <v>278</v>
      </c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7"/>
      <c r="AF2" s="217"/>
      <c r="AG2" s="217"/>
      <c r="AH2" s="217"/>
      <c r="AI2" s="64"/>
      <c r="AJ2" s="64"/>
      <c r="AK2" s="65"/>
      <c r="AL2" s="7"/>
      <c r="AM2" s="8"/>
      <c r="AN2" s="7"/>
    </row>
    <row r="3" spans="1:43" ht="15" customHeight="1">
      <c r="A3" s="55"/>
      <c r="B3" s="80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10"/>
      <c r="O3" s="125"/>
      <c r="P3" s="125"/>
      <c r="Q3" s="125"/>
      <c r="R3" s="126"/>
      <c r="S3" s="125"/>
      <c r="T3" s="125"/>
      <c r="U3" s="125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52"/>
      <c r="AJ3" s="52"/>
      <c r="AK3" s="53"/>
    </row>
    <row r="4" spans="1:43" ht="15" customHeight="1">
      <c r="A4" s="56"/>
      <c r="B4" s="96" t="s">
        <v>125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8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6"/>
      <c r="Z4" s="125"/>
      <c r="AA4" s="125"/>
      <c r="AB4" s="125"/>
      <c r="AC4" s="125"/>
      <c r="AD4" s="126"/>
      <c r="AE4" s="125"/>
      <c r="AF4" s="125"/>
      <c r="AG4" s="125"/>
      <c r="AH4" s="126"/>
      <c r="AI4" s="52"/>
      <c r="AJ4" s="52"/>
      <c r="AK4" s="53"/>
      <c r="AM4" s="218"/>
      <c r="AN4" s="218"/>
      <c r="AO4" s="219"/>
      <c r="AP4" s="218"/>
      <c r="AQ4" s="218"/>
    </row>
    <row r="5" spans="1:43" ht="15" customHeight="1">
      <c r="A5" s="91"/>
      <c r="B5" s="59"/>
      <c r="C5" s="92" t="s">
        <v>161</v>
      </c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8"/>
      <c r="O5" s="125" t="s">
        <v>83</v>
      </c>
      <c r="P5" s="125" t="s">
        <v>83</v>
      </c>
      <c r="Q5" s="125" t="s">
        <v>83</v>
      </c>
      <c r="R5" s="125" t="s">
        <v>83</v>
      </c>
      <c r="S5" s="125"/>
      <c r="T5" s="125"/>
      <c r="U5" s="125"/>
      <c r="V5" s="125"/>
      <c r="W5" s="125"/>
      <c r="X5" s="125"/>
      <c r="Y5" s="125"/>
      <c r="Z5" s="125"/>
      <c r="AA5" s="125"/>
      <c r="AB5" s="126"/>
      <c r="AC5" s="126"/>
      <c r="AD5" s="126"/>
      <c r="AE5" s="126"/>
      <c r="AF5" s="125"/>
      <c r="AG5" s="125"/>
      <c r="AH5" s="125"/>
      <c r="AI5" s="57"/>
      <c r="AJ5" s="52"/>
      <c r="AK5" s="53"/>
      <c r="AM5" s="218"/>
      <c r="AN5" s="218"/>
      <c r="AO5" s="219"/>
      <c r="AP5" s="218"/>
      <c r="AQ5" s="218"/>
    </row>
    <row r="6" spans="1:43" ht="15" customHeight="1">
      <c r="A6" s="56" t="s">
        <v>49</v>
      </c>
      <c r="B6" s="96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8"/>
      <c r="O6" s="125"/>
      <c r="P6" s="125"/>
      <c r="Q6" s="126"/>
      <c r="R6" s="125"/>
      <c r="S6" s="125"/>
      <c r="T6" s="125"/>
      <c r="U6" s="126"/>
      <c r="V6" s="125"/>
      <c r="W6" s="126"/>
      <c r="X6" s="126"/>
      <c r="Y6" s="126"/>
      <c r="Z6" s="126"/>
      <c r="AA6" s="125"/>
      <c r="AB6" s="125"/>
      <c r="AC6" s="126"/>
      <c r="AD6" s="125"/>
      <c r="AE6" s="125"/>
      <c r="AF6" s="126"/>
      <c r="AG6" s="126"/>
      <c r="AH6" s="126"/>
      <c r="AI6" s="52"/>
      <c r="AJ6" s="52"/>
      <c r="AK6" s="53"/>
      <c r="AM6" s="219"/>
      <c r="AN6" s="218"/>
      <c r="AO6" s="219"/>
      <c r="AP6" s="218"/>
      <c r="AQ6" s="218"/>
    </row>
    <row r="7" spans="1:43" ht="15" customHeight="1">
      <c r="A7" s="56" t="s">
        <v>8</v>
      </c>
      <c r="B7" s="96" t="s">
        <v>72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8"/>
      <c r="O7" s="125"/>
      <c r="P7" s="125"/>
      <c r="Q7" s="126"/>
      <c r="R7" s="125"/>
      <c r="S7" s="125"/>
      <c r="T7" s="125"/>
      <c r="U7" s="126"/>
      <c r="V7" s="125"/>
      <c r="W7" s="126"/>
      <c r="X7" s="126"/>
      <c r="Y7" s="125"/>
      <c r="Z7" s="125"/>
      <c r="AA7" s="125"/>
      <c r="AB7" s="125"/>
      <c r="AC7" s="126"/>
      <c r="AD7" s="125"/>
      <c r="AE7" s="125"/>
      <c r="AF7" s="125"/>
      <c r="AG7" s="126"/>
      <c r="AH7" s="125"/>
      <c r="AI7" s="52"/>
      <c r="AJ7" s="52"/>
      <c r="AK7" s="53"/>
      <c r="AM7" s="218"/>
      <c r="AN7" s="218"/>
      <c r="AO7" s="219"/>
      <c r="AP7" s="218"/>
      <c r="AQ7" s="218"/>
    </row>
    <row r="8" spans="1:43" ht="15" customHeight="1">
      <c r="A8" s="56" t="s">
        <v>42</v>
      </c>
      <c r="B8" s="80"/>
      <c r="C8" s="96" t="s">
        <v>53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8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6"/>
      <c r="AC8" s="125"/>
      <c r="AD8" s="126"/>
      <c r="AE8" s="125"/>
      <c r="AF8" s="125"/>
      <c r="AG8" s="125"/>
      <c r="AH8" s="125"/>
      <c r="AI8" s="52"/>
      <c r="AJ8" s="52"/>
      <c r="AK8" s="17"/>
    </row>
    <row r="9" spans="1:43" ht="15" customHeight="1">
      <c r="A9" s="56" t="s">
        <v>9</v>
      </c>
      <c r="B9" s="80"/>
      <c r="C9" s="99"/>
      <c r="D9" s="96" t="s">
        <v>54</v>
      </c>
      <c r="E9" s="97"/>
      <c r="F9" s="97"/>
      <c r="G9" s="97"/>
      <c r="H9" s="97"/>
      <c r="I9" s="97"/>
      <c r="J9" s="97"/>
      <c r="K9" s="97"/>
      <c r="L9" s="97"/>
      <c r="M9" s="97"/>
      <c r="N9" s="98"/>
      <c r="O9" s="125" t="s">
        <v>83</v>
      </c>
      <c r="P9" s="125" t="s">
        <v>83</v>
      </c>
      <c r="Q9" s="125" t="s">
        <v>83</v>
      </c>
      <c r="R9" s="125" t="s">
        <v>83</v>
      </c>
      <c r="S9" s="125"/>
      <c r="T9" s="125"/>
      <c r="U9" s="125"/>
      <c r="V9" s="125"/>
      <c r="W9" s="125"/>
      <c r="X9" s="125"/>
      <c r="Y9" s="125"/>
      <c r="Z9" s="125"/>
      <c r="AA9" s="125"/>
      <c r="AB9" s="126"/>
      <c r="AC9" s="125"/>
      <c r="AD9" s="126"/>
      <c r="AE9" s="125"/>
      <c r="AF9" s="125"/>
      <c r="AG9" s="125"/>
      <c r="AH9" s="125"/>
      <c r="AI9" s="52"/>
      <c r="AJ9" s="52"/>
      <c r="AK9" s="17"/>
    </row>
    <row r="10" spans="1:43" ht="15" customHeight="1">
      <c r="A10" s="56" t="s">
        <v>10</v>
      </c>
      <c r="B10" s="96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5"/>
      <c r="P10" s="125"/>
      <c r="Q10" s="125"/>
      <c r="R10" s="125"/>
      <c r="S10" s="125"/>
      <c r="T10" s="126"/>
      <c r="U10" s="126"/>
      <c r="V10" s="126"/>
      <c r="W10" s="125"/>
      <c r="X10" s="125"/>
      <c r="Y10" s="126"/>
      <c r="Z10" s="126"/>
      <c r="AA10" s="126"/>
      <c r="AB10" s="126"/>
      <c r="AC10" s="125"/>
      <c r="AD10" s="126"/>
      <c r="AE10" s="125"/>
      <c r="AF10" s="125"/>
      <c r="AG10" s="125"/>
      <c r="AH10" s="125"/>
      <c r="AI10" s="52"/>
      <c r="AJ10" s="52"/>
      <c r="AK10" s="17"/>
    </row>
    <row r="11" spans="1:43" ht="15" customHeight="1">
      <c r="A11" s="56" t="s">
        <v>11</v>
      </c>
      <c r="B11" s="96" t="s">
        <v>113</v>
      </c>
      <c r="C11" s="96"/>
      <c r="D11" s="96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5"/>
      <c r="P11" s="125"/>
      <c r="Q11" s="125"/>
      <c r="R11" s="125"/>
      <c r="S11" s="125"/>
      <c r="T11" s="126"/>
      <c r="U11" s="126"/>
      <c r="V11" s="126"/>
      <c r="W11" s="126"/>
      <c r="X11" s="125"/>
      <c r="Y11" s="125"/>
      <c r="Z11" s="125"/>
      <c r="AA11" s="126"/>
      <c r="AB11" s="126"/>
      <c r="AC11" s="126"/>
      <c r="AD11" s="126"/>
      <c r="AE11" s="126"/>
      <c r="AF11" s="126"/>
      <c r="AG11" s="126"/>
      <c r="AH11" s="126"/>
      <c r="AI11" s="52"/>
      <c r="AJ11" s="52"/>
      <c r="AK11" s="17"/>
    </row>
    <row r="12" spans="1:43" ht="15" customHeight="1">
      <c r="A12" s="56"/>
      <c r="B12" s="80"/>
      <c r="C12" s="92" t="s">
        <v>61</v>
      </c>
      <c r="D12" s="92"/>
      <c r="E12" s="137"/>
      <c r="F12" s="137"/>
      <c r="G12" s="137"/>
      <c r="H12" s="137"/>
      <c r="I12" s="137"/>
      <c r="J12" s="137"/>
      <c r="K12" s="137"/>
      <c r="L12" s="137"/>
      <c r="M12" s="137"/>
      <c r="N12" s="138"/>
      <c r="O12" s="125"/>
      <c r="P12" s="125"/>
      <c r="Q12" s="125" t="s">
        <v>83</v>
      </c>
      <c r="R12" s="125" t="s">
        <v>83</v>
      </c>
      <c r="S12" s="125"/>
      <c r="T12" s="125"/>
      <c r="U12" s="125"/>
      <c r="V12" s="125"/>
      <c r="W12" s="125"/>
      <c r="X12" s="125"/>
      <c r="Y12" s="125"/>
      <c r="Z12" s="125"/>
      <c r="AA12" s="125"/>
      <c r="AB12" s="126"/>
      <c r="AC12" s="125"/>
      <c r="AD12" s="126"/>
      <c r="AE12" s="125"/>
      <c r="AF12" s="125"/>
      <c r="AG12" s="125"/>
      <c r="AH12" s="125"/>
      <c r="AI12" s="52"/>
      <c r="AJ12" s="52"/>
      <c r="AK12" s="17"/>
    </row>
    <row r="13" spans="1:43" ht="15" customHeight="1">
      <c r="A13" s="56"/>
      <c r="B13" s="80"/>
      <c r="C13" s="96" t="s">
        <v>62</v>
      </c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5" t="s">
        <v>83</v>
      </c>
      <c r="P13" s="125" t="s">
        <v>83</v>
      </c>
      <c r="Q13" s="125"/>
      <c r="R13" s="125"/>
      <c r="S13" s="125"/>
      <c r="T13" s="125"/>
      <c r="U13" s="125"/>
      <c r="V13" s="125"/>
      <c r="W13" s="125"/>
      <c r="X13" s="126"/>
      <c r="Y13" s="126"/>
      <c r="Z13" s="125"/>
      <c r="AA13" s="125"/>
      <c r="AB13" s="126"/>
      <c r="AC13" s="125"/>
      <c r="AD13" s="126"/>
      <c r="AE13" s="125"/>
      <c r="AF13" s="125"/>
      <c r="AG13" s="125"/>
      <c r="AH13" s="125"/>
      <c r="AI13" s="52"/>
      <c r="AJ13" s="52"/>
      <c r="AK13" s="17"/>
    </row>
    <row r="14" spans="1:43" ht="15" customHeight="1">
      <c r="A14" s="56"/>
      <c r="B14" s="92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8"/>
      <c r="O14" s="125"/>
      <c r="P14" s="125"/>
      <c r="Q14" s="125"/>
      <c r="R14" s="125"/>
      <c r="S14" s="125"/>
      <c r="T14" s="126"/>
      <c r="U14" s="125"/>
      <c r="V14" s="125"/>
      <c r="W14" s="125"/>
      <c r="X14" s="125"/>
      <c r="Y14" s="125"/>
      <c r="Z14" s="125"/>
      <c r="AA14" s="125"/>
      <c r="AB14" s="126"/>
      <c r="AC14" s="126"/>
      <c r="AD14" s="126"/>
      <c r="AE14" s="126"/>
      <c r="AF14" s="125"/>
      <c r="AG14" s="125"/>
      <c r="AH14" s="125"/>
      <c r="AI14" s="52"/>
      <c r="AJ14" s="52"/>
      <c r="AK14" s="17"/>
    </row>
    <row r="15" spans="1:43" ht="15" customHeight="1">
      <c r="A15" s="56"/>
      <c r="B15" s="80" t="s">
        <v>73</v>
      </c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2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6"/>
      <c r="AC15" s="125"/>
      <c r="AD15" s="126"/>
      <c r="AE15" s="125"/>
      <c r="AF15" s="125"/>
      <c r="AG15" s="125"/>
      <c r="AH15" s="125"/>
      <c r="AI15" s="52"/>
      <c r="AJ15" s="52"/>
      <c r="AK15" s="17"/>
    </row>
    <row r="16" spans="1:43" ht="15" customHeight="1">
      <c r="A16" s="56"/>
      <c r="B16" s="80"/>
      <c r="C16" s="92" t="s">
        <v>74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8"/>
      <c r="O16" s="125" t="s">
        <v>83</v>
      </c>
      <c r="P16" s="125"/>
      <c r="Q16" s="125" t="s">
        <v>83</v>
      </c>
      <c r="R16" s="125"/>
      <c r="S16" s="125"/>
      <c r="T16" s="125"/>
      <c r="U16" s="125"/>
      <c r="V16" s="125"/>
      <c r="W16" s="125"/>
      <c r="X16" s="125"/>
      <c r="Y16" s="125"/>
      <c r="Z16" s="125"/>
      <c r="AA16" s="126"/>
      <c r="AB16" s="126"/>
      <c r="AC16" s="126"/>
      <c r="AD16" s="126"/>
      <c r="AE16" s="126"/>
      <c r="AF16" s="125"/>
      <c r="AG16" s="125"/>
      <c r="AH16" s="125"/>
      <c r="AI16" s="52"/>
      <c r="AJ16" s="52"/>
      <c r="AK16" s="17"/>
    </row>
    <row r="17" spans="1:37" ht="15" customHeight="1">
      <c r="A17" s="56"/>
      <c r="B17" s="80"/>
      <c r="C17" s="96" t="s">
        <v>75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8"/>
      <c r="O17" s="125"/>
      <c r="P17" s="125" t="s">
        <v>83</v>
      </c>
      <c r="Q17" s="125"/>
      <c r="R17" s="125" t="s">
        <v>83</v>
      </c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52"/>
      <c r="AJ17" s="52"/>
      <c r="AK17" s="53"/>
    </row>
    <row r="18" spans="1:37" ht="15" customHeight="1">
      <c r="A18" s="56"/>
      <c r="B18" s="96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8"/>
      <c r="O18" s="125"/>
      <c r="P18" s="125"/>
      <c r="Q18" s="125"/>
      <c r="R18" s="125"/>
      <c r="S18" s="125"/>
      <c r="T18" s="125"/>
      <c r="U18" s="125"/>
      <c r="V18" s="125"/>
      <c r="W18" s="126"/>
      <c r="X18" s="126"/>
      <c r="Y18" s="125"/>
      <c r="Z18" s="126"/>
      <c r="AA18" s="125"/>
      <c r="AB18" s="125"/>
      <c r="AC18" s="125"/>
      <c r="AD18" s="126"/>
      <c r="AE18" s="126"/>
      <c r="AF18" s="126"/>
      <c r="AG18" s="126"/>
      <c r="AH18" s="126"/>
      <c r="AI18" s="126"/>
      <c r="AJ18" s="126"/>
      <c r="AK18" s="151"/>
    </row>
    <row r="19" spans="1:37" ht="15" customHeight="1">
      <c r="A19" s="56"/>
      <c r="B19" s="80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10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6"/>
      <c r="AE19" s="125"/>
      <c r="AF19" s="125"/>
      <c r="AG19" s="125"/>
      <c r="AH19" s="126"/>
      <c r="AI19" s="126"/>
      <c r="AJ19" s="126"/>
      <c r="AK19" s="151"/>
    </row>
    <row r="20" spans="1:37" ht="15" customHeight="1">
      <c r="A20" s="56"/>
      <c r="B20" s="80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10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6"/>
      <c r="AC20" s="126"/>
      <c r="AD20" s="126"/>
      <c r="AE20" s="126"/>
      <c r="AF20" s="125"/>
      <c r="AG20" s="125"/>
      <c r="AH20" s="125"/>
      <c r="AI20" s="52"/>
      <c r="AJ20" s="52"/>
      <c r="AK20" s="53"/>
    </row>
    <row r="21" spans="1:37" ht="15" customHeight="1">
      <c r="A21" s="56"/>
      <c r="B21" s="80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10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6"/>
      <c r="AH21" s="126"/>
      <c r="AI21" s="52"/>
      <c r="AJ21" s="52"/>
      <c r="AK21" s="53"/>
    </row>
    <row r="22" spans="1:37" ht="15" customHeight="1">
      <c r="A22" s="56"/>
      <c r="B22" s="80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10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6"/>
      <c r="AH22" s="126"/>
      <c r="AI22" s="52"/>
      <c r="AJ22" s="52"/>
      <c r="AK22" s="53"/>
    </row>
    <row r="23" spans="1:37" ht="15" customHeight="1">
      <c r="A23" s="56"/>
      <c r="B23" s="80"/>
      <c r="C23" s="220"/>
      <c r="D23" s="200"/>
      <c r="E23" s="200"/>
      <c r="F23" s="200"/>
      <c r="G23" s="200"/>
      <c r="H23" s="200"/>
      <c r="I23" s="200"/>
      <c r="J23" s="200"/>
      <c r="K23" s="200"/>
      <c r="L23" s="200"/>
      <c r="M23" s="200"/>
      <c r="N23" s="201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6"/>
      <c r="AH23" s="126"/>
      <c r="AI23" s="52"/>
      <c r="AJ23" s="52"/>
      <c r="AK23" s="53"/>
    </row>
    <row r="24" spans="1:37" ht="15" customHeight="1">
      <c r="B24" s="80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10"/>
      <c r="O24" s="125"/>
      <c r="P24" s="125"/>
      <c r="Q24" s="126"/>
      <c r="R24" s="126"/>
      <c r="S24" s="125"/>
      <c r="T24" s="125"/>
      <c r="U24" s="125"/>
      <c r="V24" s="125"/>
      <c r="W24" s="126"/>
      <c r="X24" s="126"/>
      <c r="Y24" s="125"/>
      <c r="Z24" s="125"/>
      <c r="AA24" s="125"/>
      <c r="AB24" s="125"/>
      <c r="AC24" s="125"/>
      <c r="AD24" s="126"/>
      <c r="AE24" s="125"/>
      <c r="AF24" s="125"/>
      <c r="AG24" s="125"/>
      <c r="AH24" s="126"/>
      <c r="AI24" s="52"/>
      <c r="AJ24" s="52"/>
      <c r="AK24" s="53"/>
    </row>
    <row r="25" spans="1:37" ht="15" customHeight="1">
      <c r="A25" s="102"/>
      <c r="B25" s="80"/>
      <c r="C25" s="223"/>
      <c r="D25" s="223"/>
      <c r="E25" s="223"/>
      <c r="F25" s="223"/>
      <c r="G25" s="223"/>
      <c r="H25" s="223"/>
      <c r="I25" s="223"/>
      <c r="J25" s="223"/>
      <c r="K25" s="223"/>
      <c r="L25" s="223"/>
      <c r="M25" s="223"/>
      <c r="N25" s="224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6"/>
      <c r="AB25" s="126"/>
      <c r="AC25" s="126"/>
      <c r="AD25" s="126"/>
      <c r="AE25" s="126"/>
      <c r="AF25" s="126"/>
      <c r="AG25" s="126"/>
      <c r="AH25" s="126"/>
      <c r="AI25" s="52"/>
      <c r="AJ25" s="52"/>
      <c r="AK25" s="17"/>
    </row>
    <row r="26" spans="1:37" ht="15" customHeight="1">
      <c r="A26" s="56"/>
      <c r="B26" s="59"/>
      <c r="C26" s="221"/>
      <c r="D26" s="221"/>
      <c r="E26" s="221"/>
      <c r="F26" s="221"/>
      <c r="G26" s="221"/>
      <c r="H26" s="221"/>
      <c r="I26" s="221"/>
      <c r="J26" s="221"/>
      <c r="K26" s="221"/>
      <c r="L26" s="221"/>
      <c r="M26" s="221"/>
      <c r="N26" s="222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52"/>
      <c r="AJ26" s="52"/>
      <c r="AK26" s="17"/>
    </row>
    <row r="27" spans="1:37" ht="15" customHeight="1">
      <c r="A27" s="103"/>
      <c r="B27" s="79"/>
      <c r="C27" s="225"/>
      <c r="D27" s="225"/>
      <c r="E27" s="225"/>
      <c r="F27" s="225"/>
      <c r="G27" s="225"/>
      <c r="H27" s="225"/>
      <c r="I27" s="225"/>
      <c r="J27" s="225"/>
      <c r="K27" s="225"/>
      <c r="L27" s="225"/>
      <c r="M27" s="225"/>
      <c r="N27" s="226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6"/>
      <c r="AE27" s="126"/>
      <c r="AF27" s="126"/>
      <c r="AG27" s="126"/>
      <c r="AH27" s="126"/>
      <c r="AI27" s="52"/>
      <c r="AJ27" s="52"/>
      <c r="AK27" s="17"/>
    </row>
    <row r="28" spans="1:37" ht="15" customHeight="1">
      <c r="A28" s="56"/>
      <c r="B28" s="59"/>
      <c r="C28" s="221"/>
      <c r="D28" s="221"/>
      <c r="E28" s="221"/>
      <c r="F28" s="221"/>
      <c r="G28" s="221"/>
      <c r="H28" s="221"/>
      <c r="I28" s="221"/>
      <c r="J28" s="221"/>
      <c r="K28" s="221"/>
      <c r="L28" s="221"/>
      <c r="M28" s="221"/>
      <c r="N28" s="222"/>
      <c r="O28" s="125"/>
      <c r="P28" s="125"/>
      <c r="Q28" s="126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6"/>
      <c r="AD28" s="126"/>
      <c r="AE28" s="126"/>
      <c r="AF28" s="125"/>
      <c r="AG28" s="126"/>
      <c r="AH28" s="125"/>
      <c r="AI28" s="52"/>
      <c r="AJ28" s="52"/>
      <c r="AK28" s="53"/>
    </row>
    <row r="29" spans="1:37" ht="15" customHeight="1">
      <c r="A29" s="152"/>
      <c r="B29" s="96" t="s">
        <v>167</v>
      </c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8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6"/>
      <c r="AC29" s="126"/>
      <c r="AD29" s="126"/>
      <c r="AE29" s="126"/>
      <c r="AF29" s="125"/>
      <c r="AG29" s="125"/>
      <c r="AH29" s="126"/>
      <c r="AI29" s="52"/>
      <c r="AJ29" s="52"/>
      <c r="AK29" s="53"/>
    </row>
    <row r="30" spans="1:37" ht="15" customHeight="1">
      <c r="A30" s="56" t="s">
        <v>12</v>
      </c>
      <c r="B30" s="99"/>
      <c r="C30" s="92" t="s">
        <v>165</v>
      </c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8"/>
      <c r="O30" s="125" t="s">
        <v>83</v>
      </c>
      <c r="P30" s="125"/>
      <c r="Q30" s="125" t="s">
        <v>83</v>
      </c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52"/>
      <c r="AJ30" s="52"/>
      <c r="AK30" s="53"/>
    </row>
    <row r="31" spans="1:37" ht="15" customHeight="1">
      <c r="A31" s="152" t="s">
        <v>131</v>
      </c>
      <c r="B31" s="80"/>
      <c r="C31" s="96" t="s">
        <v>166</v>
      </c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8"/>
      <c r="O31" s="125"/>
      <c r="P31" s="125" t="s">
        <v>83</v>
      </c>
      <c r="Q31" s="125"/>
      <c r="R31" s="125" t="s">
        <v>83</v>
      </c>
      <c r="S31" s="125"/>
      <c r="T31" s="125"/>
      <c r="U31" s="125"/>
      <c r="V31" s="125"/>
      <c r="W31" s="125"/>
      <c r="X31" s="125"/>
      <c r="Y31" s="125"/>
      <c r="Z31" s="126"/>
      <c r="AA31" s="125"/>
      <c r="AB31" s="125"/>
      <c r="AC31" s="126"/>
      <c r="AD31" s="126"/>
      <c r="AE31" s="125"/>
      <c r="AF31" s="125"/>
      <c r="AG31" s="126"/>
      <c r="AH31" s="126"/>
      <c r="AI31" s="52"/>
      <c r="AJ31" s="52"/>
      <c r="AK31" s="17"/>
    </row>
    <row r="32" spans="1:37" ht="15" customHeight="1">
      <c r="A32" s="56" t="s">
        <v>120</v>
      </c>
      <c r="B32" s="80"/>
      <c r="C32" s="80"/>
      <c r="D32" s="96" t="s">
        <v>164</v>
      </c>
      <c r="E32" s="97"/>
      <c r="F32" s="137"/>
      <c r="G32" s="137"/>
      <c r="H32" s="137"/>
      <c r="I32" s="137"/>
      <c r="J32" s="137"/>
      <c r="K32" s="137"/>
      <c r="L32" s="137"/>
      <c r="M32" s="137"/>
      <c r="N32" s="138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6"/>
      <c r="AA32" s="125"/>
      <c r="AB32" s="125"/>
      <c r="AC32" s="126"/>
      <c r="AD32" s="126"/>
      <c r="AE32" s="125"/>
      <c r="AF32" s="125"/>
      <c r="AG32" s="126"/>
      <c r="AH32" s="126"/>
      <c r="AI32" s="52"/>
      <c r="AJ32" s="52"/>
      <c r="AK32" s="17"/>
    </row>
    <row r="33" spans="1:37" ht="15" customHeight="1">
      <c r="A33" s="152" t="s">
        <v>150</v>
      </c>
      <c r="B33" s="80"/>
      <c r="C33" s="59"/>
      <c r="D33" s="230"/>
      <c r="E33" s="92" t="s">
        <v>163</v>
      </c>
      <c r="F33" s="97"/>
      <c r="G33" s="97"/>
      <c r="H33" s="97"/>
      <c r="I33" s="97"/>
      <c r="J33" s="97"/>
      <c r="K33" s="97"/>
      <c r="L33" s="97"/>
      <c r="M33" s="97"/>
      <c r="N33" s="98"/>
      <c r="O33" s="125"/>
      <c r="P33" s="125" t="s">
        <v>83</v>
      </c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6"/>
      <c r="AC33" s="126"/>
      <c r="AD33" s="126"/>
      <c r="AE33" s="125"/>
      <c r="AF33" s="125"/>
      <c r="AG33" s="125"/>
      <c r="AH33" s="126"/>
      <c r="AI33" s="52"/>
      <c r="AJ33" s="52"/>
      <c r="AK33" s="17"/>
    </row>
    <row r="34" spans="1:37" ht="15" customHeight="1">
      <c r="A34" s="152"/>
      <c r="B34" s="79"/>
      <c r="C34" s="13"/>
      <c r="D34" s="79"/>
      <c r="E34" s="92" t="s">
        <v>162</v>
      </c>
      <c r="F34" s="101"/>
      <c r="G34" s="101"/>
      <c r="H34" s="101"/>
      <c r="I34" s="101"/>
      <c r="J34" s="101"/>
      <c r="K34" s="101"/>
      <c r="L34" s="101"/>
      <c r="M34" s="101"/>
      <c r="N34" s="153"/>
      <c r="O34" s="125"/>
      <c r="P34" s="125"/>
      <c r="Q34" s="125"/>
      <c r="R34" s="125" t="s">
        <v>83</v>
      </c>
      <c r="S34" s="125"/>
      <c r="T34" s="125"/>
      <c r="U34" s="125"/>
      <c r="V34" s="125"/>
      <c r="W34" s="125"/>
      <c r="X34" s="126"/>
      <c r="Y34" s="125"/>
      <c r="Z34" s="125"/>
      <c r="AA34" s="125"/>
      <c r="AB34" s="125"/>
      <c r="AC34" s="126"/>
      <c r="AD34" s="125"/>
      <c r="AE34" s="126"/>
      <c r="AF34" s="126"/>
      <c r="AG34" s="126"/>
      <c r="AH34" s="126"/>
      <c r="AI34" s="52"/>
      <c r="AJ34" s="52"/>
      <c r="AK34" s="17"/>
    </row>
    <row r="35" spans="1:37" ht="15" customHeight="1">
      <c r="A35" s="56"/>
      <c r="B35" s="80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6"/>
      <c r="AE35" s="125"/>
      <c r="AF35" s="125"/>
      <c r="AG35" s="125"/>
      <c r="AH35" s="126"/>
      <c r="AI35" s="52"/>
      <c r="AJ35" s="52"/>
      <c r="AK35" s="53"/>
    </row>
    <row r="36" spans="1:37" ht="15" customHeight="1">
      <c r="A36" s="152"/>
      <c r="B36" s="80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6"/>
      <c r="AC36" s="126"/>
      <c r="AD36" s="126"/>
      <c r="AE36" s="126"/>
      <c r="AF36" s="125"/>
      <c r="AG36" s="125"/>
      <c r="AH36" s="125"/>
      <c r="AI36" s="52"/>
      <c r="AJ36" s="52"/>
      <c r="AK36" s="53"/>
    </row>
    <row r="37" spans="1:37" ht="15" customHeight="1">
      <c r="A37" s="152"/>
      <c r="B37" s="80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6"/>
      <c r="AE37" s="125"/>
      <c r="AF37" s="125"/>
      <c r="AG37" s="125"/>
      <c r="AH37" s="126"/>
      <c r="AI37" s="52"/>
      <c r="AJ37" s="52"/>
      <c r="AK37" s="53"/>
    </row>
    <row r="38" spans="1:37" ht="15" customHeight="1">
      <c r="A38" s="56"/>
      <c r="B38" s="80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10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6"/>
      <c r="AE38" s="126"/>
      <c r="AF38" s="126"/>
      <c r="AG38" s="126"/>
      <c r="AH38" s="126"/>
      <c r="AI38" s="52"/>
      <c r="AJ38" s="52"/>
      <c r="AK38" s="17"/>
    </row>
    <row r="39" spans="1:37" ht="15" customHeight="1">
      <c r="B39" s="80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10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6"/>
      <c r="AC39" s="126"/>
      <c r="AD39" s="126"/>
      <c r="AE39" s="126"/>
      <c r="AF39" s="125"/>
      <c r="AG39" s="126"/>
      <c r="AH39" s="125"/>
      <c r="AI39" s="52"/>
      <c r="AJ39" s="52"/>
      <c r="AK39" s="17"/>
    </row>
    <row r="40" spans="1:37" ht="15" customHeight="1">
      <c r="B40" s="80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10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6"/>
      <c r="AA40" s="125"/>
      <c r="AB40" s="125"/>
      <c r="AC40" s="126"/>
      <c r="AD40" s="126"/>
      <c r="AE40" s="125"/>
      <c r="AF40" s="125"/>
      <c r="AG40" s="125"/>
      <c r="AH40" s="126"/>
      <c r="AI40" s="52"/>
      <c r="AJ40" s="52"/>
      <c r="AK40" s="17"/>
    </row>
    <row r="41" spans="1:37" ht="15" customHeight="1">
      <c r="A41" s="56"/>
      <c r="B41" s="80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10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52"/>
      <c r="AJ41" s="52"/>
      <c r="AK41" s="53"/>
    </row>
    <row r="42" spans="1:37" ht="15" customHeight="1">
      <c r="A42" s="114"/>
      <c r="B42" s="80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10"/>
      <c r="O42" s="125"/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6"/>
      <c r="AA42" s="125"/>
      <c r="AB42" s="125"/>
      <c r="AC42" s="126"/>
      <c r="AD42" s="126"/>
      <c r="AE42" s="125"/>
      <c r="AF42" s="125"/>
      <c r="AG42" s="126"/>
      <c r="AH42" s="126"/>
      <c r="AI42" s="52"/>
      <c r="AJ42" s="52"/>
      <c r="AK42" s="17"/>
    </row>
    <row r="43" spans="1:37" ht="15" customHeight="1">
      <c r="A43" s="114"/>
      <c r="B43" s="80"/>
      <c r="N43" s="20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6"/>
      <c r="AC43" s="126"/>
      <c r="AD43" s="126"/>
      <c r="AE43" s="126"/>
      <c r="AF43" s="125"/>
      <c r="AG43" s="126"/>
      <c r="AH43" s="126"/>
      <c r="AI43" s="52"/>
      <c r="AJ43" s="52"/>
      <c r="AK43" s="17"/>
    </row>
    <row r="44" spans="1:37" ht="15" customHeight="1">
      <c r="A44" s="152"/>
      <c r="B44" s="80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10"/>
      <c r="O44" s="125"/>
      <c r="P44" s="125"/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6"/>
      <c r="AE44" s="126"/>
      <c r="AF44" s="126"/>
      <c r="AG44" s="126"/>
      <c r="AH44" s="126"/>
      <c r="AI44" s="52"/>
      <c r="AJ44" s="52"/>
      <c r="AK44" s="17"/>
    </row>
    <row r="45" spans="1:37" ht="15" customHeight="1">
      <c r="A45" s="114"/>
      <c r="B45" s="80"/>
      <c r="E45" s="109"/>
      <c r="F45" s="109"/>
      <c r="G45" s="109"/>
      <c r="H45" s="109"/>
      <c r="I45" s="109"/>
      <c r="J45" s="109"/>
      <c r="K45" s="109"/>
      <c r="L45" s="109"/>
      <c r="M45" s="109"/>
      <c r="N45" s="110"/>
      <c r="O45" s="125"/>
      <c r="P45" s="125"/>
      <c r="Q45" s="125"/>
      <c r="R45" s="125"/>
      <c r="S45" s="125"/>
      <c r="T45" s="125"/>
      <c r="U45" s="125"/>
      <c r="V45" s="125"/>
      <c r="W45" s="125"/>
      <c r="X45" s="125"/>
      <c r="Y45" s="125"/>
      <c r="Z45" s="126"/>
      <c r="AA45" s="125"/>
      <c r="AB45" s="125"/>
      <c r="AC45" s="126"/>
      <c r="AD45" s="126"/>
      <c r="AE45" s="125"/>
      <c r="AF45" s="125"/>
      <c r="AG45" s="126"/>
      <c r="AH45" s="126"/>
      <c r="AI45" s="52"/>
      <c r="AJ45" s="52"/>
      <c r="AK45" s="17"/>
    </row>
    <row r="46" spans="1:37" ht="15" customHeight="1">
      <c r="A46" s="152"/>
      <c r="B46" s="80"/>
      <c r="C46" s="227"/>
      <c r="D46" s="228"/>
      <c r="E46" s="228"/>
      <c r="F46" s="228"/>
      <c r="G46" s="228"/>
      <c r="H46" s="228"/>
      <c r="I46" s="228"/>
      <c r="J46" s="228"/>
      <c r="K46" s="228"/>
      <c r="L46" s="228"/>
      <c r="M46" s="228"/>
      <c r="N46" s="229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6"/>
      <c r="AA46" s="126"/>
      <c r="AB46" s="126"/>
      <c r="AC46" s="126"/>
      <c r="AD46" s="126"/>
      <c r="AE46" s="126"/>
      <c r="AF46" s="126"/>
      <c r="AG46" s="126"/>
      <c r="AH46" s="126"/>
      <c r="AI46" s="52"/>
      <c r="AJ46" s="52"/>
      <c r="AK46" s="17"/>
    </row>
    <row r="47" spans="1:37" ht="15" customHeight="1">
      <c r="A47" s="114"/>
      <c r="B47" s="80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10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6"/>
      <c r="AE47" s="126"/>
      <c r="AF47" s="125"/>
      <c r="AG47" s="126"/>
      <c r="AH47" s="126"/>
      <c r="AI47" s="52"/>
      <c r="AJ47" s="52"/>
      <c r="AK47" s="17"/>
    </row>
    <row r="48" spans="1:37" ht="15" customHeight="1">
      <c r="A48" s="114"/>
      <c r="B48" s="80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10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6"/>
      <c r="AE48" s="126"/>
      <c r="AF48" s="126"/>
      <c r="AG48" s="125"/>
      <c r="AH48" s="126"/>
      <c r="AI48" s="52"/>
      <c r="AJ48" s="52"/>
      <c r="AK48" s="17"/>
    </row>
    <row r="49" spans="1:37" ht="15" customHeight="1">
      <c r="A49" s="114"/>
      <c r="B49" s="80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10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6"/>
      <c r="AD49" s="125"/>
      <c r="AE49" s="126"/>
      <c r="AF49" s="126"/>
      <c r="AG49" s="126"/>
      <c r="AH49" s="125"/>
      <c r="AI49" s="52"/>
      <c r="AJ49" s="52"/>
      <c r="AK49" s="17"/>
    </row>
    <row r="50" spans="1:37" ht="15" customHeight="1">
      <c r="A50" s="114"/>
      <c r="B50" s="80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10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6"/>
      <c r="AC50" s="126"/>
      <c r="AD50" s="126"/>
      <c r="AE50" s="126"/>
      <c r="AF50" s="126"/>
      <c r="AG50" s="126"/>
      <c r="AH50" s="126"/>
      <c r="AI50" s="52"/>
      <c r="AJ50" s="52"/>
      <c r="AK50" s="17"/>
    </row>
    <row r="51" spans="1:37" ht="15" customHeight="1">
      <c r="A51" s="114"/>
      <c r="B51" s="80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10"/>
      <c r="O51" s="125"/>
      <c r="P51" s="125"/>
      <c r="Q51" s="126"/>
      <c r="R51" s="126"/>
      <c r="S51" s="125"/>
      <c r="T51" s="125"/>
      <c r="U51" s="125"/>
      <c r="V51" s="125"/>
      <c r="W51" s="126"/>
      <c r="X51" s="126"/>
      <c r="Y51" s="125"/>
      <c r="Z51" s="125"/>
      <c r="AA51" s="125"/>
      <c r="AB51" s="125"/>
      <c r="AC51" s="125"/>
      <c r="AD51" s="126"/>
      <c r="AE51" s="125"/>
      <c r="AF51" s="125"/>
      <c r="AG51" s="125"/>
      <c r="AH51" s="126"/>
      <c r="AI51" s="52"/>
      <c r="AJ51" s="52"/>
      <c r="AK51" s="53"/>
    </row>
    <row r="52" spans="1:37" ht="15" customHeight="1">
      <c r="A52" s="114"/>
      <c r="B52" s="80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6"/>
      <c r="AD52" s="126"/>
      <c r="AE52" s="125"/>
      <c r="AF52" s="125"/>
      <c r="AG52" s="126"/>
      <c r="AH52" s="126"/>
      <c r="AI52" s="52"/>
      <c r="AJ52" s="52"/>
      <c r="AK52" s="17"/>
    </row>
    <row r="53" spans="1:37" ht="15" customHeight="1">
      <c r="A53" s="152"/>
      <c r="B53" s="80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6"/>
      <c r="AC53" s="126"/>
      <c r="AD53" s="126"/>
      <c r="AE53" s="126"/>
      <c r="AF53" s="125"/>
      <c r="AG53" s="125"/>
      <c r="AH53" s="125"/>
      <c r="AI53" s="52"/>
      <c r="AJ53" s="52"/>
      <c r="AK53" s="17"/>
    </row>
    <row r="54" spans="1:37" ht="15" customHeight="1">
      <c r="A54" s="56"/>
      <c r="B54" s="79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2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6"/>
      <c r="AE54" s="126"/>
      <c r="AF54" s="126"/>
      <c r="AG54" s="126"/>
      <c r="AH54" s="126"/>
      <c r="AI54" s="52"/>
      <c r="AJ54" s="52"/>
      <c r="AK54" s="17"/>
    </row>
    <row r="55" spans="1:37" ht="15" customHeight="1">
      <c r="A55" s="10"/>
      <c r="C55" s="19"/>
      <c r="D55" s="184" t="s">
        <v>48</v>
      </c>
      <c r="E55" s="185"/>
      <c r="F55" s="185"/>
      <c r="G55" s="185"/>
      <c r="H55" s="185"/>
      <c r="I55" s="186"/>
      <c r="J55" s="59"/>
      <c r="N55" s="20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2"/>
    </row>
    <row r="56" spans="1:37" ht="15" customHeight="1">
      <c r="A56" s="60"/>
      <c r="B56" s="61"/>
      <c r="C56" s="62"/>
      <c r="D56" s="184"/>
      <c r="E56" s="185"/>
      <c r="F56" s="185"/>
      <c r="G56" s="185"/>
      <c r="H56" s="185"/>
      <c r="I56" s="186"/>
      <c r="J56" s="13"/>
      <c r="K56" s="14"/>
      <c r="L56" s="14"/>
      <c r="M56" s="14"/>
      <c r="N56" s="15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7"/>
    </row>
    <row r="57" spans="1:37" ht="15" customHeight="1">
      <c r="A57" s="18"/>
      <c r="C57" s="19"/>
      <c r="D57" s="184"/>
      <c r="E57" s="185"/>
      <c r="F57" s="185"/>
      <c r="G57" s="185"/>
      <c r="H57" s="185"/>
      <c r="I57" s="186"/>
      <c r="M57" s="19"/>
      <c r="N57" s="20"/>
      <c r="O57" s="68" t="str">
        <f t="shared" ref="O57:AK57" si="0">IF(O58&lt;&gt;"",MONTH(O58),"")</f>
        <v/>
      </c>
      <c r="P57" s="68" t="str">
        <f t="shared" si="0"/>
        <v/>
      </c>
      <c r="Q57" s="68" t="str">
        <f t="shared" si="0"/>
        <v/>
      </c>
      <c r="R57" s="68" t="str">
        <f t="shared" si="0"/>
        <v/>
      </c>
      <c r="S57" s="68" t="str">
        <f t="shared" si="0"/>
        <v/>
      </c>
      <c r="T57" s="68" t="str">
        <f t="shared" si="0"/>
        <v/>
      </c>
      <c r="U57" s="68" t="str">
        <f t="shared" si="0"/>
        <v/>
      </c>
      <c r="V57" s="68" t="str">
        <f t="shared" si="0"/>
        <v/>
      </c>
      <c r="W57" s="68" t="str">
        <f t="shared" si="0"/>
        <v/>
      </c>
      <c r="X57" s="68" t="str">
        <f t="shared" si="0"/>
        <v/>
      </c>
      <c r="Y57" s="68" t="str">
        <f t="shared" si="0"/>
        <v/>
      </c>
      <c r="Z57" s="68" t="str">
        <f t="shared" si="0"/>
        <v/>
      </c>
      <c r="AA57" s="68" t="str">
        <f t="shared" si="0"/>
        <v/>
      </c>
      <c r="AB57" s="68" t="str">
        <f t="shared" si="0"/>
        <v/>
      </c>
      <c r="AC57" s="68" t="str">
        <f t="shared" si="0"/>
        <v/>
      </c>
      <c r="AD57" s="68" t="str">
        <f t="shared" si="0"/>
        <v/>
      </c>
      <c r="AE57" s="68" t="str">
        <f t="shared" si="0"/>
        <v/>
      </c>
      <c r="AF57" s="68" t="str">
        <f t="shared" si="0"/>
        <v/>
      </c>
      <c r="AG57" s="68" t="str">
        <f t="shared" si="0"/>
        <v/>
      </c>
      <c r="AH57" s="68" t="str">
        <f t="shared" si="0"/>
        <v/>
      </c>
      <c r="AI57" s="68" t="str">
        <f t="shared" si="0"/>
        <v/>
      </c>
      <c r="AJ57" s="68" t="str">
        <f t="shared" si="0"/>
        <v/>
      </c>
      <c r="AK57" s="69" t="str">
        <f t="shared" si="0"/>
        <v/>
      </c>
    </row>
    <row r="58" spans="1:37" ht="15" customHeight="1">
      <c r="A58" s="21"/>
      <c r="B58" s="14"/>
      <c r="C58" s="22"/>
      <c r="D58" s="187"/>
      <c r="E58" s="188"/>
      <c r="F58" s="188"/>
      <c r="G58" s="188"/>
      <c r="H58" s="188"/>
      <c r="I58" s="189"/>
      <c r="M58" s="19"/>
      <c r="N58" s="15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1"/>
    </row>
    <row r="59" spans="1:37" ht="15" customHeight="1">
      <c r="A59" s="167" t="s">
        <v>43</v>
      </c>
      <c r="B59" s="168"/>
      <c r="C59" s="169"/>
      <c r="D59" s="177"/>
      <c r="E59" s="175"/>
      <c r="F59" s="175"/>
      <c r="G59" s="175"/>
      <c r="H59" s="175"/>
      <c r="I59" s="176"/>
      <c r="M59" s="19"/>
      <c r="N59" s="20"/>
      <c r="O59" s="68" t="str">
        <f t="shared" ref="O59:AK59" si="1">IF(O60&lt;&gt;"",MONTH(O60),"")</f>
        <v/>
      </c>
      <c r="P59" s="68" t="str">
        <f t="shared" si="1"/>
        <v/>
      </c>
      <c r="Q59" s="68" t="str">
        <f t="shared" si="1"/>
        <v/>
      </c>
      <c r="R59" s="68" t="str">
        <f t="shared" si="1"/>
        <v/>
      </c>
      <c r="S59" s="68" t="str">
        <f t="shared" si="1"/>
        <v/>
      </c>
      <c r="T59" s="68" t="str">
        <f t="shared" si="1"/>
        <v/>
      </c>
      <c r="U59" s="68" t="str">
        <f t="shared" si="1"/>
        <v/>
      </c>
      <c r="V59" s="68" t="str">
        <f t="shared" si="1"/>
        <v/>
      </c>
      <c r="W59" s="68" t="str">
        <f t="shared" si="1"/>
        <v/>
      </c>
      <c r="X59" s="68" t="str">
        <f t="shared" si="1"/>
        <v/>
      </c>
      <c r="Y59" s="68" t="str">
        <f t="shared" si="1"/>
        <v/>
      </c>
      <c r="Z59" s="68" t="str">
        <f t="shared" si="1"/>
        <v/>
      </c>
      <c r="AA59" s="68" t="str">
        <f t="shared" si="1"/>
        <v/>
      </c>
      <c r="AB59" s="68" t="str">
        <f t="shared" si="1"/>
        <v/>
      </c>
      <c r="AC59" s="68" t="str">
        <f t="shared" si="1"/>
        <v/>
      </c>
      <c r="AD59" s="68" t="str">
        <f t="shared" si="1"/>
        <v/>
      </c>
      <c r="AE59" s="68" t="str">
        <f t="shared" si="1"/>
        <v/>
      </c>
      <c r="AF59" s="68" t="str">
        <f t="shared" si="1"/>
        <v/>
      </c>
      <c r="AG59" s="68" t="str">
        <f t="shared" si="1"/>
        <v/>
      </c>
      <c r="AH59" s="68" t="str">
        <f t="shared" si="1"/>
        <v/>
      </c>
      <c r="AI59" s="68" t="str">
        <f t="shared" si="1"/>
        <v/>
      </c>
      <c r="AJ59" s="68" t="str">
        <f t="shared" si="1"/>
        <v/>
      </c>
      <c r="AK59" s="69" t="str">
        <f t="shared" si="1"/>
        <v/>
      </c>
    </row>
    <row r="60" spans="1:37" ht="15" customHeight="1">
      <c r="A60" s="167" t="s">
        <v>44</v>
      </c>
      <c r="B60" s="168"/>
      <c r="C60" s="169"/>
      <c r="D60" s="190"/>
      <c r="E60" s="191"/>
      <c r="F60" s="191"/>
      <c r="G60" s="191"/>
      <c r="H60" s="191"/>
      <c r="I60" s="192"/>
      <c r="J60" s="14"/>
      <c r="K60" s="14"/>
      <c r="L60" s="14"/>
      <c r="M60" s="22"/>
      <c r="N60" s="15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3"/>
    </row>
    <row r="61" spans="1:37" ht="15" customHeight="1">
      <c r="A61" s="167" t="s">
        <v>16</v>
      </c>
      <c r="B61" s="168"/>
      <c r="C61" s="169"/>
      <c r="D61" s="170"/>
      <c r="E61" s="171"/>
      <c r="F61" s="171"/>
      <c r="G61" s="171"/>
      <c r="H61" s="171"/>
      <c r="I61" s="172"/>
      <c r="J61" s="14"/>
      <c r="K61" s="14"/>
      <c r="L61" s="14"/>
      <c r="M61" s="23" t="s">
        <v>17</v>
      </c>
      <c r="N61" s="15"/>
      <c r="O61" s="16" t="s">
        <v>45</v>
      </c>
      <c r="P61" s="16" t="s">
        <v>45</v>
      </c>
      <c r="Q61" s="16" t="s">
        <v>45</v>
      </c>
      <c r="R61" s="16" t="s">
        <v>45</v>
      </c>
      <c r="S61" s="16" t="s">
        <v>45</v>
      </c>
      <c r="T61" s="16" t="s">
        <v>45</v>
      </c>
      <c r="U61" s="16" t="s">
        <v>45</v>
      </c>
      <c r="V61" s="16" t="s">
        <v>45</v>
      </c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7"/>
    </row>
    <row r="62" spans="1:37" ht="15" customHeight="1">
      <c r="A62" s="167" t="s">
        <v>18</v>
      </c>
      <c r="B62" s="168"/>
      <c r="C62" s="169"/>
      <c r="D62" s="173"/>
      <c r="E62" s="168"/>
      <c r="F62" s="168"/>
      <c r="G62" s="168"/>
      <c r="H62" s="168"/>
      <c r="I62" s="169"/>
      <c r="J62" s="14"/>
      <c r="K62" s="14"/>
      <c r="L62" s="14"/>
      <c r="M62" s="23" t="s">
        <v>19</v>
      </c>
      <c r="N62" s="15"/>
      <c r="O62" s="16" t="s">
        <v>46</v>
      </c>
      <c r="P62" s="16" t="s">
        <v>46</v>
      </c>
      <c r="Q62" s="16" t="s">
        <v>46</v>
      </c>
      <c r="R62" s="16" t="s">
        <v>46</v>
      </c>
      <c r="S62" s="16" t="s">
        <v>46</v>
      </c>
      <c r="T62" s="16" t="s">
        <v>46</v>
      </c>
      <c r="U62" s="16" t="s">
        <v>46</v>
      </c>
      <c r="V62" s="16" t="s">
        <v>46</v>
      </c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7"/>
    </row>
    <row r="63" spans="1:37" ht="15" customHeight="1">
      <c r="A63" s="174" t="s">
        <v>20</v>
      </c>
      <c r="B63" s="175"/>
      <c r="C63" s="176"/>
      <c r="D63" s="177" t="s">
        <v>21</v>
      </c>
      <c r="E63" s="175"/>
      <c r="F63" s="175"/>
      <c r="G63" s="175"/>
      <c r="H63" s="175"/>
      <c r="I63" s="176"/>
      <c r="N63" s="20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2"/>
    </row>
    <row r="64" spans="1:37" ht="15" customHeight="1">
      <c r="A64" s="18"/>
      <c r="C64" s="19"/>
      <c r="E64" s="105" t="s">
        <v>22</v>
      </c>
      <c r="H64" s="105" t="s">
        <v>23</v>
      </c>
      <c r="I64" s="19"/>
      <c r="M64" s="105" t="s">
        <v>24</v>
      </c>
      <c r="N64" s="20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2"/>
    </row>
    <row r="65" spans="1:37" ht="15" customHeight="1">
      <c r="A65" s="18"/>
      <c r="C65" s="19"/>
      <c r="I65" s="19"/>
      <c r="J65" s="14"/>
      <c r="K65" s="14"/>
      <c r="L65" s="14"/>
      <c r="M65" s="14"/>
      <c r="N65" s="15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7"/>
    </row>
    <row r="66" spans="1:37" ht="15" customHeight="1">
      <c r="A66" s="161" t="s">
        <v>47</v>
      </c>
      <c r="B66" s="162"/>
      <c r="C66" s="163"/>
      <c r="I66" s="19"/>
      <c r="N66" s="20"/>
      <c r="O66" s="5" t="s">
        <v>40</v>
      </c>
      <c r="P66" s="25"/>
      <c r="Q66" s="25"/>
      <c r="R66" s="25"/>
      <c r="S66" s="25"/>
      <c r="T66" s="25"/>
      <c r="V66" s="19"/>
      <c r="AA66" s="19"/>
      <c r="AF66" s="39" t="s">
        <v>2</v>
      </c>
      <c r="AG66" s="36">
        <f>COUNTIF(O61:AK61,"A")</f>
        <v>8</v>
      </c>
      <c r="AH66" s="40" t="s">
        <v>3</v>
      </c>
      <c r="AI66" s="36">
        <f>COUNTIF(O61:AK61,"B")</f>
        <v>0</v>
      </c>
      <c r="AJ66" s="40" t="s">
        <v>4</v>
      </c>
      <c r="AK66" s="34">
        <f>COUNTIF(O61:AK61,"C")</f>
        <v>0</v>
      </c>
    </row>
    <row r="67" spans="1:37" ht="15" customHeight="1">
      <c r="A67" s="18"/>
      <c r="C67" s="19"/>
      <c r="I67" s="19"/>
      <c r="K67" s="1"/>
      <c r="L67" s="1"/>
      <c r="M67" s="1"/>
      <c r="N67" s="54"/>
      <c r="O67" s="5" t="s">
        <v>41</v>
      </c>
      <c r="Q67" s="26"/>
      <c r="V67" s="19"/>
      <c r="Y67" s="105" t="s">
        <v>25</v>
      </c>
      <c r="AA67" s="19"/>
      <c r="AB67" s="45"/>
      <c r="AC67" s="44">
        <v>1</v>
      </c>
      <c r="AD67" s="33"/>
      <c r="AE67" s="44">
        <v>1</v>
      </c>
      <c r="AF67" s="41" t="s">
        <v>5</v>
      </c>
      <c r="AG67" s="37">
        <f>COUNTIF(M62:AI62,"N")</f>
        <v>8</v>
      </c>
      <c r="AH67" s="42" t="s">
        <v>2</v>
      </c>
      <c r="AI67" s="37">
        <f>COUNTIF(O62:AK62,"A")</f>
        <v>0</v>
      </c>
      <c r="AJ67" s="42" t="s">
        <v>3</v>
      </c>
      <c r="AK67" s="35">
        <f>COUNTIF(O62:AK62,"B")</f>
        <v>0</v>
      </c>
    </row>
    <row r="68" spans="1:37" ht="15" customHeight="1" thickBot="1">
      <c r="A68" s="85"/>
      <c r="B68" s="106"/>
      <c r="C68" s="107"/>
      <c r="D68" s="164"/>
      <c r="E68" s="165"/>
      <c r="F68" s="165"/>
      <c r="G68" s="165"/>
      <c r="H68" s="165"/>
      <c r="I68" s="166"/>
      <c r="J68" s="28"/>
      <c r="K68" s="63"/>
      <c r="L68" s="63"/>
      <c r="M68" s="63"/>
      <c r="N68" s="29"/>
      <c r="O68" s="28"/>
      <c r="P68" s="28"/>
      <c r="Q68" s="28"/>
      <c r="R68" s="28"/>
      <c r="S68" s="28"/>
      <c r="T68" s="28"/>
      <c r="U68" s="28"/>
      <c r="V68" s="27"/>
      <c r="W68" s="28"/>
      <c r="X68" s="28"/>
      <c r="Y68" s="28"/>
      <c r="Z68" s="28"/>
      <c r="AA68" s="27"/>
      <c r="AB68" s="28"/>
      <c r="AC68" s="28"/>
      <c r="AD68" s="28"/>
      <c r="AE68" s="28"/>
      <c r="AF68" s="32" t="s">
        <v>6</v>
      </c>
      <c r="AG68" s="28"/>
      <c r="AH68" s="38"/>
      <c r="AI68" s="43">
        <f>SUM(AF66:AK66)</f>
        <v>8</v>
      </c>
      <c r="AJ68" s="28"/>
      <c r="AK68" s="30"/>
    </row>
  </sheetData>
  <mergeCells count="17">
    <mergeCell ref="A62:C62"/>
    <mergeCell ref="D62:I62"/>
    <mergeCell ref="A63:C63"/>
    <mergeCell ref="D63:I63"/>
    <mergeCell ref="A66:C66"/>
    <mergeCell ref="D68:F68"/>
    <mergeCell ref="G68:I68"/>
    <mergeCell ref="D55:I58"/>
    <mergeCell ref="A59:C59"/>
    <mergeCell ref="D59:I59"/>
    <mergeCell ref="A60:C60"/>
    <mergeCell ref="D60:I60"/>
    <mergeCell ref="A61:C61"/>
    <mergeCell ref="D61:I61"/>
    <mergeCell ref="C23:N23"/>
    <mergeCell ref="C26:N26"/>
    <mergeCell ref="C28:N28"/>
  </mergeCells>
  <phoneticPr fontId="16"/>
  <printOptions verticalCentered="1" gridLinesSet="0"/>
  <pageMargins left="0.59055118110236227" right="0.31496062992125984" top="0.39370078740157483" bottom="0.39370078740157483" header="0.51181102362204722" footer="0.39370078740157483"/>
  <pageSetup paperSize="9" scale="74" orientation="portrait" horizontalDpi="4294967292" verticalDpi="4294967292" r:id="rId1"/>
  <headerFooter alignWithMargins="0">
    <oddFooter>&amp;R&amp;"ＭＳ 明朝,斜体"&amp;8All Rights Reserved,Copy Right 2002,Hitachi Software Engineering Co.,Ltd.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3761" r:id="rId4" name="Button 1">
              <controlPr defaultSize="0" print="0" autoFill="0" autoLine="0" autoPict="0" macro="[0]!リスト5_Change">
                <anchor moveWithCells="1" sizeWithCells="1">
                  <from>
                    <xdr:col>0</xdr:col>
                    <xdr:colOff>76200</xdr:colOff>
                    <xdr:row>68</xdr:row>
                    <xdr:rowOff>114300</xdr:rowOff>
                  </from>
                  <to>
                    <xdr:col>5</xdr:col>
                    <xdr:colOff>142875</xdr:colOff>
                    <xdr:row>70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2" r:id="rId5" name="Button 2">
              <controlPr defaultSize="0" print="0" autoFill="0" autoLine="0" autoPict="0" macro="[0]!DrawCheck.DrawCheck">
                <anchor moveWithCells="1" sizeWithCells="1">
                  <from>
                    <xdr:col>11</xdr:col>
                    <xdr:colOff>180975</xdr:colOff>
                    <xdr:row>1</xdr:row>
                    <xdr:rowOff>762000</xdr:rowOff>
                  </from>
                  <to>
                    <xdr:col>13</xdr:col>
                    <xdr:colOff>476250</xdr:colOff>
                    <xdr:row>1</xdr:row>
                    <xdr:rowOff>1066800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3" r:id="rId6" name="Button 3">
              <controlPr defaultSize="0" print="0" autoFill="0" autoLine="0" autoPict="0" macro="[0]!Cancel_Click">
                <anchor moveWithCells="1" sizeWithCells="1">
                  <from>
                    <xdr:col>11</xdr:col>
                    <xdr:colOff>180975</xdr:colOff>
                    <xdr:row>1</xdr:row>
                    <xdr:rowOff>419100</xdr:rowOff>
                  </from>
                  <to>
                    <xdr:col>13</xdr:col>
                    <xdr:colOff>476250</xdr:colOff>
                    <xdr:row>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4" r:id="rId7" name="Button 4">
              <controlPr defaultSize="0" print="0" autoFill="0" autoLine="0" autoPict="0" macro="[0]!ボタン41_Click">
                <anchor moveWithCells="1" sizeWithCells="1">
                  <from>
                    <xdr:col>1</xdr:col>
                    <xdr:colOff>0</xdr:colOff>
                    <xdr:row>1</xdr:row>
                    <xdr:rowOff>1000125</xdr:rowOff>
                  </from>
                  <to>
                    <xdr:col>4</xdr:col>
                    <xdr:colOff>133350</xdr:colOff>
                    <xdr:row>1</xdr:row>
                    <xdr:rowOff>1352550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5" r:id="rId8" name="Button 5">
              <controlPr defaultSize="0" print="0" autoFill="0" autoLine="0" autoPict="0" macro="[0]!ENTER_A">
                <anchor moveWithCells="1" sizeWithCells="1">
                  <from>
                    <xdr:col>10</xdr:col>
                    <xdr:colOff>209550</xdr:colOff>
                    <xdr:row>1</xdr:row>
                    <xdr:rowOff>1257300</xdr:rowOff>
                  </from>
                  <to>
                    <xdr:col>12</xdr:col>
                    <xdr:colOff>38100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6" r:id="rId9" name="Button 6">
              <controlPr defaultSize="0" print="0" autoFill="0" autoLine="0" autoPict="0" macro="[0]!ENTER_B">
                <anchor moveWithCells="1" sizeWithCells="1">
                  <from>
                    <xdr:col>12</xdr:col>
                    <xdr:colOff>47625</xdr:colOff>
                    <xdr:row>1</xdr:row>
                    <xdr:rowOff>1257300</xdr:rowOff>
                  </from>
                  <to>
                    <xdr:col>13</xdr:col>
                    <xdr:colOff>142875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7" r:id="rId10" name="Button 7">
              <controlPr defaultSize="0" print="0" autoFill="0" autoLine="0" autoPict="0" macro="[0]!ENTER_C">
                <anchor moveWithCells="1" sizeWithCells="1">
                  <from>
                    <xdr:col>13</xdr:col>
                    <xdr:colOff>161925</xdr:colOff>
                    <xdr:row>1</xdr:row>
                    <xdr:rowOff>1257300</xdr:rowOff>
                  </from>
                  <to>
                    <xdr:col>13</xdr:col>
                    <xdr:colOff>485775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8" r:id="rId11" name="Button 8">
              <controlPr defaultSize="0" print="0" autoFill="0" autoLine="0" autoPict="0" macro="[0]!ENTER_N">
                <anchor moveWithCells="1" sizeWithCells="1">
                  <from>
                    <xdr:col>9</xdr:col>
                    <xdr:colOff>95250</xdr:colOff>
                    <xdr:row>1</xdr:row>
                    <xdr:rowOff>1257300</xdr:rowOff>
                  </from>
                  <to>
                    <xdr:col>10</xdr:col>
                    <xdr:colOff>200025</xdr:colOff>
                    <xdr:row>1</xdr:row>
                    <xdr:rowOff>1524000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63982-5846-4983-8F40-859EF03D2752}">
  <dimension ref="A2:C7"/>
  <sheetViews>
    <sheetView workbookViewId="0">
      <selection activeCell="B9" sqref="B9"/>
    </sheetView>
  </sheetViews>
  <sheetFormatPr defaultColWidth="2.7109375" defaultRowHeight="12"/>
  <cols>
    <col min="1" max="16384" width="2.7109375" style="136"/>
  </cols>
  <sheetData>
    <row r="2" spans="1:3">
      <c r="A2" s="136" t="s">
        <v>105</v>
      </c>
    </row>
    <row r="3" spans="1:3">
      <c r="A3" s="136" t="s">
        <v>106</v>
      </c>
    </row>
    <row r="5" spans="1:3">
      <c r="B5" s="136" t="s">
        <v>107</v>
      </c>
    </row>
    <row r="7" spans="1:3">
      <c r="C7" s="136" t="s">
        <v>108</v>
      </c>
    </row>
  </sheetData>
  <phoneticPr fontId="1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18F91-1590-4599-BF07-1E7AE343E7C8}">
  <sheetPr codeName="Sheet27"/>
  <dimension ref="A1:B11"/>
  <sheetViews>
    <sheetView workbookViewId="0">
      <selection activeCell="E14" sqref="E14"/>
    </sheetView>
  </sheetViews>
  <sheetFormatPr defaultRowHeight="12"/>
  <sheetData>
    <row r="1" spans="1:2">
      <c r="A1" s="2" t="s">
        <v>26</v>
      </c>
      <c r="B1" t="s">
        <v>27</v>
      </c>
    </row>
    <row r="2" spans="1:2">
      <c r="A2" s="2" t="s">
        <v>28</v>
      </c>
      <c r="B2" t="s">
        <v>29</v>
      </c>
    </row>
    <row r="3" spans="1:2">
      <c r="A3" s="2" t="s">
        <v>30</v>
      </c>
      <c r="B3" t="s">
        <v>31</v>
      </c>
    </row>
    <row r="4" spans="1:2">
      <c r="B4" t="s">
        <v>32</v>
      </c>
    </row>
    <row r="5" spans="1:2">
      <c r="B5" t="s">
        <v>33</v>
      </c>
    </row>
    <row r="6" spans="1:2">
      <c r="B6" t="s">
        <v>34</v>
      </c>
    </row>
    <row r="7" spans="1:2">
      <c r="B7" t="s">
        <v>35</v>
      </c>
    </row>
    <row r="8" spans="1:2">
      <c r="B8" t="s">
        <v>36</v>
      </c>
    </row>
    <row r="9" spans="1:2">
      <c r="B9" t="s">
        <v>37</v>
      </c>
    </row>
    <row r="10" spans="1:2">
      <c r="B10" t="s">
        <v>38</v>
      </c>
    </row>
    <row r="11" spans="1:2">
      <c r="B11" t="s">
        <v>39</v>
      </c>
    </row>
  </sheetData>
  <phoneticPr fontId="15"/>
  <printOptions gridLinesSet="0"/>
  <pageMargins left="0.78700000000000003" right="0.78700000000000003" top="0.98399999999999999" bottom="0.98399999999999999" header="0.5" footer="0.5"/>
  <pageSetup paperSize="9" orientation="portrait" horizontalDpi="4294967292" verticalDpi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11</vt:i4>
      </vt:variant>
      <vt:variant>
        <vt:lpstr>ダイアログ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22" baseType="lpstr">
      <vt:lpstr>管理シート</vt:lpstr>
      <vt:lpstr>(1)</vt:lpstr>
      <vt:lpstr>(2)</vt:lpstr>
      <vt:lpstr>(3)</vt:lpstr>
      <vt:lpstr>(4)</vt:lpstr>
      <vt:lpstr>(5)</vt:lpstr>
      <vt:lpstr>(6)</vt:lpstr>
      <vt:lpstr>(7)</vt:lpstr>
      <vt:lpstr>(8)</vt:lpstr>
      <vt:lpstr>返品パターンの補足</vt:lpstr>
      <vt:lpstr>名称一覧</vt:lpstr>
      <vt:lpstr>チェックＩＤ付加</vt:lpstr>
      <vt:lpstr>確認担当情報</vt:lpstr>
      <vt:lpstr>製図担当情報</vt:lpstr>
      <vt:lpstr>'(1)'!Print_Area</vt:lpstr>
      <vt:lpstr>'(2)'!Print_Area</vt:lpstr>
      <vt:lpstr>'(3)'!Print_Area</vt:lpstr>
      <vt:lpstr>'(4)'!Print_Area</vt:lpstr>
      <vt:lpstr>'(5)'!Print_Area</vt:lpstr>
      <vt:lpstr>'(6)'!Print_Area</vt:lpstr>
      <vt:lpstr>'(7)'!Print_Area</vt:lpstr>
      <vt:lpstr>'(8)'!Print_Area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チェックリスト（マトリックス形式）</dc:subject>
  <cp:lastModifiedBy>U100918</cp:lastModifiedBy>
  <cp:lastPrinted>2002-10-08T12:51:53Z</cp:lastPrinted>
  <dcterms:created xsi:type="dcterms:W3CDTF">1996-09-13T09:20:17Z</dcterms:created>
  <dcterms:modified xsi:type="dcterms:W3CDTF">2022-03-12T03:32:41Z</dcterms:modified>
</cp:coreProperties>
</file>